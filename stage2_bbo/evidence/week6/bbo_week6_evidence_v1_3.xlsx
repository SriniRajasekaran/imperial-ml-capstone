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snee\Documents\Nivas HD\ML AI References\Capstone Project\Stage 2\Wekk 6\"/>
    </mc:Choice>
  </mc:AlternateContent>
  <xr:revisionPtr revIDLastSave="0" documentId="8_{00AF8865-927C-47A5-B66C-659B9479CFC6}" xr6:coauthVersionLast="47" xr6:coauthVersionMax="47" xr10:uidLastSave="{00000000-0000-0000-0000-000000000000}"/>
  <bookViews>
    <workbookView xWindow="-120" yWindow="-120" windowWidth="29040" windowHeight="15720" tabRatio="500" xr2:uid="{00000000-000D-0000-FFFF-FFFF00000000}"/>
  </bookViews>
  <sheets>
    <sheet name="README" sheetId="1" r:id="rId1"/>
    <sheet name="Week 5 Results Assessment" sheetId="2" r:id="rId2"/>
    <sheet name="Regression Diagnostics" sheetId="3" r:id="rId3"/>
    <sheet name="GP Kernel Comparison" sheetId="4" r:id="rId4"/>
    <sheet name="F1 Deep Dive" sheetId="5" r:id="rId5"/>
    <sheet name="F5 Trust Region Check" sheetId="6" r:id="rId6"/>
    <sheet name="F7 Beta Sensitivity" sheetId="7" r:id="rId7"/>
    <sheet name="Visualization Ideas (Nivas)" sheetId="8" r:id="rId8"/>
    <sheet name="Performance Heatmap" sheetId="9" r:id="rId9"/>
    <sheet name="Beta Trajectory" sheetId="10" r:id="rId10"/>
    <sheet name="Contribution and Interaction" sheetId="11" r:id="rId11"/>
    <sheet name="Week 6 Query Recommendations" sheetId="12" r:id="rId12"/>
    <sheet name="Extrapolation Check (All Fns)" sheetId="13" r:id="rId1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<sst xmlns="http://schemas.openxmlformats.org/spreadsheetml/2006/main" count="465" uniqueCount="285">
  <si>
    <t>BBO Week 6 Evidence Workbook — How To Use This File</t>
  </si>
  <si>
    <t>Purpose</t>
  </si>
  <si>
    <t>Full diagnostic record supporting the Week 6 queries: data reconciliation, regression gate tests, GP kernel selection, and function-specific investigations, built on the combined dataset (Imperial initial data plus confirmed Weeks 1 to 5).</t>
  </si>
  <si>
    <t>Week 5 Results Assessment</t>
  </si>
  <si>
    <t>Actual portal outcomes for Week 5 against each function's running best, including the initial-data baseline.</t>
  </si>
  <si>
    <t>Regression Diagnostics</t>
  </si>
  <si>
    <t>All four eligibility gates tested for every function on the full combined dataset.</t>
  </si>
  <si>
    <t>GP Kernel Comparison</t>
  </si>
  <si>
    <t>Leave-one-out Q2 across four kernels (RBF, Matern-3/2, Matern-5/2, Mixture RBF) per function; best kernel governs the GP-UCB query unless flagged otherwise.</t>
  </si>
  <si>
    <t>F1 Deep Dive</t>
  </si>
  <si>
    <t>Log-space quadratic fit on the nine positive F1 readings, used to estimate an implied hotspot centre — the first real structure found in this function.</t>
  </si>
  <si>
    <t>F5 Trust Region Check</t>
  </si>
  <si>
    <t>Comparison between the raw global UCB candidate (which extrapolates to an unsupported corner) and a direction-informed, data-adjacent alternative.</t>
  </si>
  <si>
    <t>F7 Beta Sensitivity</t>
  </si>
  <si>
    <t>UCB candidate and predicted improvement across beta values 1.0 to 2.0, used to justify moving F7 back into an exploration-weighted beta this week.</t>
  </si>
  <si>
    <t>Week 6 Query Recommendations</t>
  </si>
  <si>
    <t>Final proposed query per function with method, kernel, beta, predicted mu/std/UCB versus current best. Draft only, pending review and portal submission.</t>
  </si>
  <si>
    <t>Source: Imperial portal confirmation email, Week 5. Running best includes Imperial initial data, not only weekly queries.</t>
  </si>
  <si>
    <t>Fn</t>
  </si>
  <si>
    <t>Dims</t>
  </si>
  <si>
    <t>W5 query</t>
  </si>
  <si>
    <t>W5 output</t>
  </si>
  <si>
    <t>Best before W5</t>
  </si>
  <si>
    <t>New best?</t>
  </si>
  <si>
    <t>Delta</t>
  </si>
  <si>
    <t>Note</t>
  </si>
  <si>
    <t>F1</t>
  </si>
  <si>
    <t>0.749424-0.990000</t>
  </si>
  <si>
    <t>-8.864e-103</t>
  </si>
  <si>
    <t>7.71088e-16</t>
  </si>
  <si>
    <t>No</t>
  </si>
  <si>
    <t>-7.71088e-16</t>
  </si>
  <si>
    <t>Still noise floor. Fifth round with no located signal in linear space.</t>
  </si>
  <si>
    <t>F2</t>
  </si>
  <si>
    <t>0.775772-0.252390</t>
  </si>
  <si>
    <t>0.0994879</t>
  </si>
  <si>
    <t>0.611205</t>
  </si>
  <si>
    <t>-0.511717</t>
  </si>
  <si>
    <t>Sharp drop from Week 4 (0.5965). All-time best still the initial-data point.</t>
  </si>
  <si>
    <t>F3</t>
  </si>
  <si>
    <t>0.540591-0.502380-0.520903</t>
  </si>
  <si>
    <t>-0.0283622</t>
  </si>
  <si>
    <t>-0.021459</t>
  </si>
  <si>
    <t>-0.00690325</t>
  </si>
  <si>
    <t>Below the Week 2 best. Trust region r=0.20 did not hold up.</t>
  </si>
  <si>
    <t>F4</t>
  </si>
  <si>
    <t>0.399138-0.408810-0.412368-0.460663</t>
  </si>
  <si>
    <t>-0.438014</t>
  </si>
  <si>
    <t>0.389822</t>
  </si>
  <si>
    <t>-0.827836</t>
  </si>
  <si>
    <t>Well below Week 2 best. Third week without improvement.</t>
  </si>
  <si>
    <t>F5</t>
  </si>
  <si>
    <t>0.974099-0.980482-0.944372-0.936891</t>
  </si>
  <si>
    <t>5959.13</t>
  </si>
  <si>
    <t>6172.33</t>
  </si>
  <si>
    <t>-213.204</t>
  </si>
  <si>
    <t>First non-improvement after four straight confirmed gains.</t>
  </si>
  <si>
    <t>F6</t>
  </si>
  <si>
    <t>0.396883-0.061359-0.654724-0.963308-0.000542</t>
  </si>
  <si>
    <t>-0.634364</t>
  </si>
  <si>
    <t>-0.545514</t>
  </si>
  <si>
    <t>-0.08885</t>
  </si>
  <si>
    <t>Corner-extreme push did not beat Week 2 best.</t>
  </si>
  <si>
    <t>F7</t>
  </si>
  <si>
    <t>0.131941-0.178922-0.387064-0.232804-0.344600-0.794261</t>
  </si>
  <si>
    <t>2.64097</t>
  </si>
  <si>
    <t>2.72621</t>
  </si>
  <si>
    <t>-0.0852463</t>
  </si>
  <si>
    <t>Improved on Weeks 3-4 but still short of Week 2 peak.</t>
  </si>
  <si>
    <t>F8</t>
  </si>
  <si>
    <t>0.128209-0.176123-0.177564-0.179740-0.536273-0.455703-0.251010-0.734363</t>
  </si>
  <si>
    <t>9.94631</t>
  </si>
  <si>
    <t>9.90937</t>
  </si>
  <si>
    <t>YES</t>
  </si>
  <si>
    <t>+0.0369361</t>
  </si>
  <si>
    <t>New best. Third straight improving week.</t>
  </si>
  <si>
    <t>Regression Diagnostics — Week 6 Gate Test (Combined Dataset)</t>
  </si>
  <si>
    <t>Gates: R2&gt;0.30 AND Shapiro-Wilk p&gt;0.05 AND Durbin-Watson 1.5-2.5 AND predicted y beats current best. Fitted on full combined data (initial + Weeks 1-5).</t>
  </si>
  <si>
    <t>n</t>
  </si>
  <si>
    <t>R2</t>
  </si>
  <si>
    <t>SW p-val</t>
  </si>
  <si>
    <t>DW stat</t>
  </si>
  <si>
    <t>Pred y</t>
  </si>
  <si>
    <t>R2&gt;0.30?</t>
  </si>
  <si>
    <t>SW normal?</t>
  </si>
  <si>
    <t>DW ok?</t>
  </si>
  <si>
    <t>Beats best?</t>
  </si>
  <si>
    <t>All gates?</t>
  </si>
  <si>
    <t>no</t>
  </si>
  <si>
    <t>FAIL</t>
  </si>
  <si>
    <t>PASS</t>
  </si>
  <si>
    <t>F8 passes all four gates cleanly (R2=0.922). Flagged: this is the same pattern that failed live in Week 2 (all gates passed, portal result still came in below best). F8 stays on GP-UCB pending confirmation.</t>
  </si>
  <si>
    <t>GP Kernel Comparison — Leave-One-Out Q2 (Combined Dataset)</t>
  </si>
  <si>
    <t>Four kernels tested per function. Best Q2 governs the GP-UCB query unless FORCE_GP or another override applies. F1 uses mandatory length-scale bounds (0.15-0.6).</t>
  </si>
  <si>
    <t>RBF Q2</t>
  </si>
  <si>
    <t>Matern-3/2 Q2</t>
  </si>
  <si>
    <t>Matern-5/2 Q2</t>
  </si>
  <si>
    <t>Mixture RBF Q2</t>
  </si>
  <si>
    <t>Best kernel</t>
  </si>
  <si>
    <t>Matern32</t>
  </si>
  <si>
    <t>MixtureRBF</t>
  </si>
  <si>
    <t>F1 Deep Dive — Log-Space Quadratic Fit</t>
  </si>
  <si>
    <t>All 15 combined readings remain near-zero in linear space, but span 24 orders of magnitude. Fitting log(y) on the 9 positive readings against a quadratic surface tests for a genuine Gaussian-plume peak.</t>
  </si>
  <si>
    <t>Term</t>
  </si>
  <si>
    <t>Coefficient</t>
  </si>
  <si>
    <t>Std err</t>
  </si>
  <si>
    <t>t-stat</t>
  </si>
  <si>
    <t>p-value</t>
  </si>
  <si>
    <t>const</t>
  </si>
  <si>
    <t>x1</t>
  </si>
  <si>
    <t>x1^2</t>
  </si>
  <si>
    <t>x2</t>
  </si>
  <si>
    <t>x2^2</t>
  </si>
  <si>
    <t>Model R2</t>
  </si>
  <si>
    <t>n (positive readings used)</t>
  </si>
  <si>
    <t>F-stat p-value</t>
  </si>
  <si>
    <t>Curvature x1 (must be negative for a peak)</t>
  </si>
  <si>
    <t>Curvature x2 (must be negative for a peak)</t>
  </si>
  <si>
    <t>Implied hotspot centre</t>
  </si>
  <si>
    <t>(0.525, 0.547)</t>
  </si>
  <si>
    <t>Best observed point</t>
  </si>
  <si>
    <t>(0.731, 0.733)</t>
  </si>
  <si>
    <t>Option</t>
  </si>
  <si>
    <t>Proposed query</t>
  </si>
  <si>
    <t>Rationale</t>
  </si>
  <si>
    <t>Option A</t>
  </si>
  <si>
    <t>0.525000-0.547000</t>
  </si>
  <si>
    <t>Query the model-implied hotspot centre directly. Favoured given fit quality (R2=0.889, all key terms significant).</t>
  </si>
  <si>
    <t>Option B</t>
  </si>
  <si>
    <t>0.750000-0.750000</t>
  </si>
  <si>
    <t>Refine locally around the best observed point instead, more conservative given n=9 is thin for a 4-parameter fit.</t>
  </si>
  <si>
    <t>F5 Trust Region Check — Corner Extrapolation vs Direction-Informed Candidate</t>
  </si>
  <si>
    <t>Week 4 and Week 5 points sit only 0.045 apart in input space, yet Week 4 beat Week 5. A naive global UCB search extrapolates to the (1,1,1,1) corner with no nearby data support.</t>
  </si>
  <si>
    <t>Candidate</t>
  </si>
  <si>
    <t>Query</t>
  </si>
  <si>
    <t>Predicted mu</t>
  </si>
  <si>
    <t>Predicted std</t>
  </si>
  <si>
    <t>Nearest neighbour dist</t>
  </si>
  <si>
    <t>Verdict</t>
  </si>
  <si>
    <t>Raw global UCB (corner)</t>
  </si>
  <si>
    <t>1.000000-1.000000-1.000000-1.000000</t>
  </si>
  <si>
    <t>n/a (&gt;0.15)</t>
  </si>
  <si>
    <t>Predicted mean highest, but std is 3.5x higher than any other candidate here. Pure extrapolation, zero data within reach.</t>
  </si>
  <si>
    <t>Direction-informed (recommended)</t>
  </si>
  <si>
    <t>0.985000-0.940000-0.975000-0.960000</t>
  </si>
  <si>
    <t>Pushes x1 further as the Week 3-4 improvement did, while holding x2 low and x3/x4 near Week 4 rather than reducing them as Week 5 did. Closer to data, tighter std.</t>
  </si>
  <si>
    <t>F7 Beta Sensitivity — UCB Candidate Across Beta Values</t>
  </si>
  <si>
    <t>At beta=1.0 the top UCB candidate does not clear the current best. Raising beta pushes x3 into a genuinely unexplored region and clears it. 24,000 LHS candidates used (F7 convention).</t>
  </si>
  <si>
    <t>Beta</t>
  </si>
  <si>
    <t>UCB</t>
  </si>
  <si>
    <t>Beats current best (2.726)?</t>
  </si>
  <si>
    <t>0.046725-0.199639-0.511170-0.316645-0.268610-0.699817</t>
  </si>
  <si>
    <t>0.070000-0.220782-0.963161-0.164733-0.373667-0.671126</t>
  </si>
  <si>
    <t>0.069986-0.220782-0.963161-0.164733-0.373667-0.671126</t>
  </si>
  <si>
    <t>Beta=1.8 selected: clears current best with a real exploration move (x3 pushed to 0.963, vs historical 0.3-0.6 range) without going to the extreme of beta=2.0.</t>
  </si>
  <si>
    <t>Visualization Ideas — Suggested by Nivas</t>
  </si>
  <si>
    <t>Five visualization concepts drawing an analogy to standard ML diagnostics (confusion matrix, MSE, hyperparameter trajectories). Feasibility notes reflect what the current logged dataset supports today versus what would need new logging going forward.</t>
  </si>
  <si>
    <t>#</t>
  </si>
  <si>
    <t>Idea</t>
  </si>
  <si>
    <t>Description</t>
  </si>
  <si>
    <t>Data required</t>
  </si>
  <si>
    <t>Status</t>
  </si>
  <si>
    <t>Heatmap of function performance (confusion-matrix style)</t>
  </si>
  <si>
    <t>Functions as rows, weeks as columns, cell color = normalized performance (best=1, worst=0), diverging blue-white-red colormap to spot improving vs stagnating functions at a glance.</t>
  </si>
  <si>
    <t>Full y-history per function (have this).</t>
  </si>
  <si>
    <t>Built. See "Performance Heatmap" sheet. Caveat: F1 needs log-space normalization, see note there.</t>
  </si>
  <si>
    <t>Error-surface plot (MSE analogy)</t>
  </si>
  <si>
    <t>Squared deviation between GP-predicted mu and actual portal y, plotted by week per function. Flattening curves mean the surrogate is converging; spikes mean instability or genuine exploration.</t>
  </si>
  <si>
    <t>Predicted mu logged at the time each query was submitted, for every past week.</t>
  </si>
  <si>
    <t>Not built. Predicted mu was not logged for Weeks 1-4 at submission time. Would need to start logging mu/std going forward; can backfill retrospectively by refitting on progressively smaller datasets if useful.</t>
  </si>
  <si>
    <t>Beta-trajectory map</t>
  </si>
  <si>
    <t>Beta value per function plotted by week, colored by function ID, to visualize the exploration-to-exploitation shift over the campaign.</t>
  </si>
  <si>
    <t>Beta used per function per week.</t>
  </si>
  <si>
    <t>Partially built. See "Beta Trajectory" sheet. Weeks 1, 2, 5 and the Week 6 draft are on record; Weeks 3 and 4 betas were not separately logged per function and are left blank rather than guessed.</t>
  </si>
  <si>
    <t>Spatial displacement vectors</t>
  </si>
  <si>
    <t>Euclidean distance/direction between consecutive weekly query points, plotted as arrows. Long arrows = exploration, short arrows = refinement/convergence.</t>
  </si>
  <si>
    <t>Two consecutive confirmed query points per function (have this for any week-to-week pair) plus a real Week 6 submission to compare against Week 5.</t>
  </si>
  <si>
    <t>Not built yet. Buildable immediately for Weeks 1-5 pairs; the Week 5 to Week 6 vector needs Week 6 to be finalized and submitted first.</t>
  </si>
  <si>
    <t>Regression-gate radar chart</t>
  </si>
  <si>
    <t>One axis per gate (R2, Shapiro-Wilk p, Durbin-Watson, predicted vs best), normalized 0-1, one shape per function overlaid on the same radar.</t>
  </si>
  <si>
    <t>Gate diagnostics per function (have this for the current week, from "Regression Diagnostics" sheet).</t>
  </si>
  <si>
    <t>Not built. Openpyxl radar charts are limited in styling; a clean version is better built once there is more than one week of gate history to make the radar worth comparing across time.</t>
  </si>
  <si>
    <t>Performance Heatmap — Normalized Output by Function and Week</t>
  </si>
  <si>
    <t>Each row normalized independently (0 = worst y ever observed for that function, 1 = best), using the full combined dataset (initial + Weeks 1-5) as the scale. Diverging color scale: red = low, white = mid, green = high, within that function's own range.</t>
  </si>
  <si>
    <t>Initial</t>
  </si>
  <si>
    <t>Week 1</t>
  </si>
  <si>
    <t>Week 2</t>
  </si>
  <si>
    <t>Week 3</t>
  </si>
  <si>
    <t>Week 4</t>
  </si>
  <si>
    <t>Week 5</t>
  </si>
  <si>
    <t>Radiation field detection</t>
  </si>
  <si>
    <t>Noisy ML log-likelihood</t>
  </si>
  <si>
    <t>Drug discovery</t>
  </si>
  <si>
    <t>Warehouse allocation</t>
  </si>
  <si>
    <t>Chemical yield</t>
  </si>
  <si>
    <t>Recipe scoring</t>
  </si>
  <si>
    <t>ML hyperparameter tuning</t>
  </si>
  <si>
    <t>Neural network tuning</t>
  </si>
  <si>
    <t>Caveat: F1's row normalizes to a near-uniform 1.0 across all weeks. F1's combined range is dominated by one outlier reading (-0.0036) far below everything else, which are all clustered near zero; min-max normalization on that range compresses every other point toward the top. This is the same distortion that made log-space treatment necessary for F1 (see "F1 Deep Dive"), and it is worth keeping in mind before reading this heatmap as "F1 is doing fine."</t>
  </si>
  <si>
    <t>Beta Trajectory by Function and Week</t>
  </si>
  <si>
    <t>Only weeks with a confirmed logged beta per function are shown. Weeks 3 and 4 were not separately recorded per function in the working documents and are left blank rather than estimated.</t>
  </si>
  <si>
    <t>Week 6 (draft)</t>
  </si>
  <si>
    <t>not logged</t>
  </si>
  <si>
    <t>Variable Contribution and Interaction Analysis</t>
  </si>
  <si>
    <t>Absolute contribution (main-effect correlation) and co-movement impact (interaction signal) per function, fitted on the full combined dataset (initial + Weeks 1-5). Local-vs-global reversal check compares each function's 5 weekly points against the full dataset.</t>
  </si>
  <si>
    <t>Dominant driver(s), r (p)</t>
  </si>
  <si>
    <t>Interaction signal</t>
  </si>
  <si>
    <t>Sampling confound</t>
  </si>
  <si>
    <t>Local-vs-global reversal check</t>
  </si>
  <si>
    <t>Action taken</t>
  </si>
  <si>
    <t>None significant</t>
  </si>
  <si>
    <t>None</t>
  </si>
  <si>
    <t>No reliable signal in either window, consistent throughout</t>
  </si>
  <si>
    <t>None, unrelated to the log-space hotspot approach</t>
  </si>
  <si>
    <t>x1: r=0.554 (p=0.032)</t>
  </si>
  <si>
    <t>x1 &amp; x2 correlated r=0.52 in our own queries</t>
  </si>
  <si>
    <t>Weekly data shows no x1 effect (r=0.014); restricted local range, not a contradiction</t>
  </si>
  <si>
    <t>Query revised to replicate the untested best-known region (0.70,0.90)</t>
  </si>
  <si>
    <t>x3: r=-0.459 (p=0.042)</t>
  </si>
  <si>
    <t>x1xx3: r=0.514 (p=0.020)</t>
  </si>
  <si>
    <t>Real reversal: x3 above x2 outperformed locally (r=0.710 on 5 points) despite the opposite global effect, driven by one extreme global outlier we have never approached</t>
  </si>
  <si>
    <t>Query revised to high x1 with x3 slightly above x2</t>
  </si>
  <si>
    <t>x1: -0.497, x2: -0.400, x4: -0.424 (all p&lt;0.02)</t>
  </si>
  <si>
    <t>x1 flat locally only because our own queries never varied it beyond a narrow 0.40-0.44 band; global best points sit in that same band, nothing missed</t>
  </si>
  <si>
    <t>No change</t>
  </si>
  <si>
    <t>x1: 0.511, x2: 0.597, x3: 0.635, x4: 0.559 (all p&lt;0.01)</t>
  </si>
  <si>
    <t>Every pairwise interaction significant, r=0.52-0.70, p&lt;0.01</t>
  </si>
  <si>
    <t>Weekly and global data agree in direction, several even stronger locally (x1 r=0.995)</t>
  </si>
  <si>
    <t>No change, reinforces the existing direction-informed trust-region query</t>
  </si>
  <si>
    <t>x5: -0.704, x4: 0.622, x2: -0.434 (all p&lt;0.03)</t>
  </si>
  <si>
    <t>x4 looked reversed locally, but traced to a genuine confound: Week 1 and Week 4 are identical except x1, and x1 collapsing to an extreme corner (0.05) explains the drop, not x4</t>
  </si>
  <si>
    <t>No change, confound documented</t>
  </si>
  <si>
    <t>x1: -0.558, x6: 0.442 (p&lt;0.008)</t>
  </si>
  <si>
    <t>x2xx6: -0.351 (p=0.039)</t>
  </si>
  <si>
    <t>x1 &amp; x6 correlated r=-0.54 in our own queries</t>
  </si>
  <si>
    <t>x6 has barely varied across our five queries (0.72-0.79), so its local reversal is unreliable noise, but this check surfaced that the draft query had let x6 drop to 0.671, below that supported range</t>
  </si>
  <si>
    <t>Query revised to hold x6 at 0.78 while still exploring the new x3 region</t>
  </si>
  <si>
    <t>x1: -0.703, x3: -0.696, x7: -0.463, x2: -0.351 (all p&lt;0.02)</t>
  </si>
  <si>
    <t>Weak, none strong</t>
  </si>
  <si>
    <t>x2 and x7 both look reversed locally but neither reaches significance on 5 points, against a much larger-sample significant global effect. Judged as noise</t>
  </si>
  <si>
    <t>Method note: "local" uses only the 5 confirmed weekly points per function (4 degrees of freedom), so most local correlations do not reach significance on their own. A local pattern was only acted on where it was directionally strong (F3, |r|=0.71) and/or corroborated by a direct GP check at the candidate point (F3, F7). Everywhere else, the larger, more reliable full-dataset effect was kept as the working assumption.</t>
  </si>
  <si>
    <t>Week 6 Query Recommendations (Final Draft — Pending Portal Submission)</t>
  </si>
  <si>
    <t>GP-UCB unless noted. F1, F2, F3, F7 and F8 were revised after the variable contribution/interaction review and the extrapolation check (see respective sheets). Srini reviews and confirms before portal submission.</t>
  </si>
  <si>
    <t>Method</t>
  </si>
  <si>
    <t>Kernel</t>
  </si>
  <si>
    <t>Pred mu</t>
  </si>
  <si>
    <t>Pred std</t>
  </si>
  <si>
    <t>Current best</t>
  </si>
  <si>
    <t>Revised?</t>
  </si>
  <si>
    <t>Log-quadratic hotspot fit (Option A)</t>
  </si>
  <si>
    <t>n/a</t>
  </si>
  <si>
    <t>7.71e-16</t>
  </si>
  <si>
    <t>Confirmed: Option A selected</t>
  </si>
  <si>
    <t>GP-UCB (replication test)</t>
  </si>
  <si>
    <t>0.720000-0.880000</t>
  </si>
  <si>
    <t>Revised: near-replication of best-known region</t>
  </si>
  <si>
    <t>Interaction-informed override (GP untrustworthy, Q2&lt;0)</t>
  </si>
  <si>
    <t>n/a (GP not used)</t>
  </si>
  <si>
    <t>0.850000-0.350000-0.420000</t>
  </si>
  <si>
    <t>Revised: high x1 + x3 slightly above x2</t>
  </si>
  <si>
    <t>GP-UCB (FORCE_GP)</t>
  </si>
  <si>
    <t>0.382407-0.451359-0.398010-0.379418</t>
  </si>
  <si>
    <t>GP-UCB (direction-informed)</t>
  </si>
  <si>
    <t>GP-UCB</t>
  </si>
  <si>
    <t>0.523355-0.263385-0.485002-0.954954-0.012977</t>
  </si>
  <si>
    <t>No change (flagged reversal was a confound)</t>
  </si>
  <si>
    <t>GP-UCB (FORCE_GP), trust-region checked</t>
  </si>
  <si>
    <t>0.126100-0.189800-0.427400-0.196700-0.314000-0.686000</t>
  </si>
  <si>
    <t>Revised twice: x6 held high, then swapped to a closer, higher-mu trust-region point</t>
  </si>
  <si>
    <t>0.119100-0.036800-0.209600-0.031200-0.679700-0.521600-0.197200-0.665500</t>
  </si>
  <si>
    <t>Revised: nearly identical predicted mu, much lower extrapolation and uncertainty</t>
  </si>
  <si>
    <t>Extrapolation Check — All Functions (New Standing Practice)</t>
  </si>
  <si>
    <t>Previously, trust-region checks were only run reactively when something looked wrong (F5). Prompted by a direct question about why F1 Deep Dive / F5 Trust Region / F7 Beta Sensitivity were function-specific, this check was run against every Week 6 candidate. It surfaced two more real issues (F7, F8) that a reactive-only approach had missed. This is now a standing per-week, per-function check, not a one-off.</t>
  </si>
  <si>
    <t>Nearest neighbor distance</t>
  </si>
  <si>
    <t>Distance / sqrt(dims)</t>
  </si>
  <si>
    <t>Flagged?</t>
  </si>
  <si>
    <t>Outcome</t>
  </si>
  <si>
    <t>Within normal range, no action</t>
  </si>
  <si>
    <t>Elevated but expected, this candidate was already deliberately testing new territory (see Contribution and Interaction sheet)</t>
  </si>
  <si>
    <t>No (already resolved)</t>
  </si>
  <si>
    <t>This is the case that originally prompted the trust-region concept; already fixed in the prior revision</t>
  </si>
  <si>
    <t>Elevated but this candidate was already deliberately corner-seeking on 3-way model agreement, see prior turns</t>
  </si>
  <si>
    <t>Highest of any function. A trust-region-restricted candidate predicted a HIGHER outcome (mu 2.659 vs 2.449) with comparable uncertainty and far less extrapolation. Query revised.</t>
  </si>
  <si>
    <t>Second highest. A trust-region-restricted candidate predicted nearly the same outcome (mu 10.013 vs 10.024) with much lower uncertainty (std 0.092 vs 0.144). Query revised in favour of the safer point.</t>
  </si>
  <si>
    <t>Standing rule going forward: every week, for every function, compute the nearest-neighbor distance of the recommended query against all observed data (initial plus confirmed weeks). If a candidate is a clear outlier relative to the others that week (elevated distance/sqrt(dims)), run a trust-region-restricted comparison before finalizing, the same check previously reserved for F5 alone. Document the comparison here whether or not it changes the final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</si>
</sst>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FFFFFF"/>
      <name val="Arial"/>
      <family val="2"/>
    </font>
    <font>
      <b/>
      <sz val="9"/>
      <color rgb="FFFFFFFF"/>
      <name val="Arial"/>
      <family val="2"/>
    </font>
    <font>
      <sz val="9"/>
      <color rgb="FF1F1F1F"/>
      <name val="Arial"/>
      <family val="2"/>
    </font>
    <font>
      <b/>
      <sz val="13"/>
      <color rgb="FFFFFFFF"/>
      <name val="Arial"/>
      <family val="2"/>
    </font>
    <font>
      <sz val="9"/>
      <color rgb="FF1F3864"/>
      <name val="Arial"/>
      <family val="2"/>
    </font>
    <font>
      <b/>
      <sz val="9"/>
      <color rgb="FFE8613C"/>
      <name val="Arial"/>
      <family val="2"/>
    </font>
    <font>
      <b/>
      <sz val="9"/>
      <color rgb="FFC62828"/>
      <name val="Arial"/>
      <family val="2"/>
    </font>
    <font>
      <b/>
      <sz val="9"/>
      <color rgb="FF2E7D32"/>
      <name val="Arial"/>
      <family val="2"/>
    </font>
    <font>
      <b/>
      <sz val="9"/>
      <color rgb="FFFF8F00"/>
      <name val="Arial"/>
      <family val="2"/>
    </font>
    <font>
      <i/>
      <sz val="9"/>
      <color rgb="FFFF8F00"/>
      <name val="Arial"/>
      <family val="2"/>
    </font>
    <font>
      <b/>
      <sz val="9"/>
      <color rgb="FF1F3864"/>
      <name val="Arial"/>
      <family val="2"/>
    </font>
    <font>
      <b/>
      <sz val="9"/>
      <color rgb="FF1F1F1F"/>
      <name val="Arial"/>
      <family val="2"/>
    </font>
    <font>
      <i/>
      <sz val="9"/>
      <color rgb="FF1F3864"/>
      <name val="Arial"/>
      <family val="2"/>
    </font>
  </fonts>
  <fills count="11">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E8F5E9"/>
      </patternFill>
    </fill>
    <fill>
      <patternFill patternType="solid">
        <fgColor rgb="FFFFFFFF"/>
        <bgColor rgb="FFFFF8E1"/>
      </patternFill>
    </fill>
    <fill>
      <patternFill patternType="solid">
        <fgColor rgb="FFD6E4F0"/>
        <bgColor rgb="FFD9D9D9"/>
      </patternFill>
    </fill>
    <fill>
      <patternFill patternType="solid">
        <fgColor rgb="FFFFF9C4"/>
        <bgColor rgb="FFFFF8E1"/>
      </patternFill>
    </fill>
    <fill>
      <patternFill patternType="solid">
        <fgColor rgb="FFFFEBEE"/>
        <bgColor rgb="FFFFF8E1"/>
      </patternFill>
    </fill>
    <fill>
      <patternFill patternType="solid">
        <fgColor rgb="FFE8F5E9"/>
        <bgColor rgb="FFEBF3FB"/>
      </patternFill>
    </fill>
    <fill>
      <patternFill patternType="solid">
        <fgColor rgb="FFFFF8E1"/>
        <bgColor rgb="FFFFF9C4"/>
      </patternFill>
    </fill>
  </fills>
  <borders count="1">
    <border>
      <left/>
      <right/>
      <top/>
      <bottom/>
      <diagonal/>
    </border>
  </borders>
  <cellStyleXfs count="1">
    <xf numFmtId="0" fontId="0" fillId="0" borderId="0"/>
  </cellStyleXfs>
  <cellXfs count="29">
    <xf numFmtId="0" fontId="0" fillId="0" borderId="0" xfId="0"/>
    <xf numFmtId="0" fontId="13" fillId="0" borderId="0" xfId="0"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left" wrapText="1"/>
    </xf>
    <xf numFmtId="0" fontId="3" fillId="5" borderId="0" xfId="0" applyFont="1" applyFill="1" applyAlignment="1">
      <alignment horizontal="center" vertical="center"/>
    </xf>
    <xf numFmtId="0" fontId="12" fillId="5" borderId="0" xfId="0" applyFont="1" applyFill="1" applyAlignment="1">
      <alignment horizontal="left" vertical="center"/>
    </xf>
    <xf numFmtId="0" fontId="3" fillId="4" borderId="0" xfId="0" applyFont="1" applyFill="1" applyAlignment="1">
      <alignment horizontal="center" vertical="center"/>
    </xf>
    <xf numFmtId="0" fontId="12" fillId="4" borderId="0" xfId="0" applyFont="1" applyFill="1" applyAlignment="1">
      <alignment horizontal="left" vertical="center"/>
    </xf>
    <xf numFmtId="0" fontId="10" fillId="0" borderId="0" xfId="0" applyFont="1" applyAlignment="1">
      <alignment horizontal="left" wrapText="1"/>
    </xf>
    <xf numFmtId="0" fontId="5" fillId="6" borderId="0" xfId="0" applyFont="1" applyFill="1" applyAlignment="1">
      <alignment horizontal="center" vertical="center" wrapText="1"/>
    </xf>
    <xf numFmtId="0" fontId="4" fillId="2" borderId="0" xfId="0" applyFont="1" applyFill="1" applyAlignment="1">
      <alignment horizontal="center" vertical="center"/>
    </xf>
    <xf numFmtId="0" fontId="3" fillId="5" borderId="0" xfId="0" applyFont="1" applyFill="1" applyAlignment="1">
      <alignment horizontal="left" vertical="center" wrapText="1"/>
    </xf>
    <xf numFmtId="0" fontId="3" fillId="4" borderId="0" xfId="0" applyFont="1" applyFill="1" applyAlignment="1">
      <alignment horizontal="lef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5" borderId="0" xfId="0" applyFont="1" applyFill="1" applyAlignment="1">
      <alignment horizontal="center" vertical="center"/>
    </xf>
    <xf numFmtId="0" fontId="6" fillId="7" borderId="0" xfId="0" applyFont="1" applyFill="1" applyAlignment="1">
      <alignment horizontal="center" vertical="center"/>
    </xf>
    <xf numFmtId="0" fontId="7" fillId="8" borderId="0" xfId="0" applyFont="1" applyFill="1" applyAlignment="1">
      <alignment horizontal="center" vertical="center"/>
    </xf>
    <xf numFmtId="0" fontId="3" fillId="4" borderId="0" xfId="0" applyFont="1" applyFill="1" applyAlignment="1">
      <alignment horizontal="center" vertical="center"/>
    </xf>
    <xf numFmtId="0" fontId="8" fillId="9" borderId="0" xfId="0" applyFont="1" applyFill="1" applyAlignment="1">
      <alignment horizontal="center" vertical="center"/>
    </xf>
    <xf numFmtId="0" fontId="9" fillId="10" borderId="0" xfId="0" applyFont="1" applyFill="1" applyAlignment="1">
      <alignment horizontal="center" vertical="center"/>
    </xf>
    <xf numFmtId="0" fontId="11" fillId="5" borderId="0" xfId="0" applyFont="1" applyFill="1" applyAlignment="1">
      <alignment horizontal="center" vertical="center"/>
    </xf>
    <xf numFmtId="0" fontId="11" fillId="4" borderId="0" xfId="0" applyFont="1" applyFill="1" applyAlignment="1">
      <alignment horizontal="center" vertical="center"/>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9" fillId="10" borderId="0" xfId="0" applyFont="1" applyFill="1" applyAlignment="1">
      <alignment horizontal="center" vertical="center" wrapText="1"/>
    </xf>
    <xf numFmtId="0" fontId="6" fillId="7" borderId="0" xfId="0" applyFont="1" applyFill="1" applyAlignment="1">
      <alignment horizontal="center" vertical="center" wrapText="1"/>
    </xf>
    <xf numFmtId="0" fontId="8" fillId="9" borderId="0" xfId="0" applyFont="1" applyFill="1" applyAlignment="1">
      <alignment horizontal="center" vertical="center" wrapText="1"/>
    </xf>
    <xf numFmtId="0" fontId="7"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9C4"/>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3FB"/>
      <rgbColor rgb="FFD6E4F0"/>
      <rgbColor rgb="FFFFF8E1"/>
      <rgbColor rgb="FF99CCFF"/>
      <rgbColor rgb="FFFF99CC"/>
      <rgbColor rgb="FFCC99FF"/>
      <rgbColor rgb="FFFFEBEE"/>
      <rgbColor rgb="FF2E75B6"/>
      <rgbColor rgb="FF33CCCC"/>
      <rgbColor rgb="FF99CC00"/>
      <rgbColor rgb="FFFFCC00"/>
      <rgbColor rgb="FFFF8F00"/>
      <rgbColor rgb="FFE8613C"/>
      <rgbColor rgb="FF666699"/>
      <rgbColor rgb="FF969696"/>
      <rgbColor rgb="FF1F3864"/>
      <rgbColor rgb="FF2E7D32"/>
      <rgbColor rgb="FF003300"/>
      <rgbColor rgb="FF333300"/>
      <rgbColor rgb="FFC62828"/>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Beta by function across logged weeks</a:t>
            </a:r>
          </a:p>
        </c:rich>
      </c:tx>
      <c:overlay val="0"/>
      <c:spPr>
        <a:noFill/>
        <a:ln w="0">
          <a:noFill/>
        </a:ln>
      </c:spPr>
    </c:title>
    <c:autoTitleDeleted val="0"/>
    <c:plotArea>
      <c:layout/>
      <c:lineChart>
        <c:grouping val="standard"/>
        <c:varyColors val="0"/>
        <c:ser>
          <c:idx val="0"/>
          <c:order val="0"/>
          <c:tx>
            <c:strRef>
              <c:f>'Beta Trajectory'!$A$5</c:f>
              <c:strCache>
                <c:ptCount val="1"/>
                <c:pt idx="0">
                  <c:v>F1</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Trajectory'!$B$5:$G$5</c:f>
              <c:numCache>
                <c:formatCode>General</c:formatCode>
                <c:ptCount val="6"/>
                <c:pt idx="0">
                  <c:v>2</c:v>
                </c:pt>
                <c:pt idx="1">
                  <c:v>2</c:v>
                </c:pt>
                <c:pt idx="2">
                  <c:v>0</c:v>
                </c:pt>
                <c:pt idx="3">
                  <c:v>0</c:v>
                </c:pt>
                <c:pt idx="4">
                  <c:v>2.2999999999999998</c:v>
                </c:pt>
                <c:pt idx="5">
                  <c:v>0</c:v>
                </c:pt>
              </c:numCache>
            </c:numRef>
          </c:val>
          <c:smooth val="1"/>
          <c:extLst>
            <c:ext xmlns:c16="http://schemas.microsoft.com/office/drawing/2014/chart" uri="{C3380CC4-5D6E-409C-BE32-E72D297353CC}">
              <c16:uniqueId val="{00000000-B44A-4246-9317-28EF06988B7E}"/>
            </c:ext>
          </c:extLst>
        </c:ser>
        <c:ser>
          <c:idx val="1"/>
          <c:order val="1"/>
          <c:tx>
            <c:strRef>
              <c:f>'Beta Trajectory'!$A$6</c:f>
              <c:strCache>
                <c:ptCount val="1"/>
                <c:pt idx="0">
                  <c:v>F2</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Trajectory'!$B$6:$G$6</c:f>
              <c:numCache>
                <c:formatCode>General</c:formatCode>
                <c:ptCount val="6"/>
                <c:pt idx="0">
                  <c:v>2</c:v>
                </c:pt>
                <c:pt idx="1">
                  <c:v>2</c:v>
                </c:pt>
                <c:pt idx="2">
                  <c:v>0</c:v>
                </c:pt>
                <c:pt idx="3">
                  <c:v>0</c:v>
                </c:pt>
                <c:pt idx="4">
                  <c:v>1.7</c:v>
                </c:pt>
                <c:pt idx="5">
                  <c:v>1.8</c:v>
                </c:pt>
              </c:numCache>
            </c:numRef>
          </c:val>
          <c:smooth val="1"/>
          <c:extLst>
            <c:ext xmlns:c16="http://schemas.microsoft.com/office/drawing/2014/chart" uri="{C3380CC4-5D6E-409C-BE32-E72D297353CC}">
              <c16:uniqueId val="{00000001-B44A-4246-9317-28EF06988B7E}"/>
            </c:ext>
          </c:extLst>
        </c:ser>
        <c:ser>
          <c:idx val="2"/>
          <c:order val="2"/>
          <c:tx>
            <c:strRef>
              <c:f>'Beta Trajectory'!$A$7</c:f>
              <c:strCache>
                <c:ptCount val="1"/>
                <c:pt idx="0">
                  <c:v>F3</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Trajectory'!$B$7:$G$7</c:f>
              <c:numCache>
                <c:formatCode>General</c:formatCode>
                <c:ptCount val="6"/>
                <c:pt idx="0">
                  <c:v>2</c:v>
                </c:pt>
                <c:pt idx="1">
                  <c:v>1.8</c:v>
                </c:pt>
                <c:pt idx="2">
                  <c:v>0</c:v>
                </c:pt>
                <c:pt idx="3">
                  <c:v>0</c:v>
                </c:pt>
                <c:pt idx="4">
                  <c:v>1.3</c:v>
                </c:pt>
                <c:pt idx="5">
                  <c:v>1.8</c:v>
                </c:pt>
              </c:numCache>
            </c:numRef>
          </c:val>
          <c:smooth val="1"/>
          <c:extLst>
            <c:ext xmlns:c16="http://schemas.microsoft.com/office/drawing/2014/chart" uri="{C3380CC4-5D6E-409C-BE32-E72D297353CC}">
              <c16:uniqueId val="{00000002-B44A-4246-9317-28EF06988B7E}"/>
            </c:ext>
          </c:extLst>
        </c:ser>
        <c:ser>
          <c:idx val="3"/>
          <c:order val="3"/>
          <c:tx>
            <c:strRef>
              <c:f>'Beta Trajectory'!$A$8</c:f>
              <c:strCache>
                <c:ptCount val="1"/>
                <c:pt idx="0">
                  <c:v>F4</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Trajectory'!$B$8:$G$8</c:f>
              <c:numCache>
                <c:formatCode>General</c:formatCode>
                <c:ptCount val="6"/>
                <c:pt idx="0">
                  <c:v>2</c:v>
                </c:pt>
                <c:pt idx="1">
                  <c:v>1</c:v>
                </c:pt>
                <c:pt idx="2">
                  <c:v>0</c:v>
                </c:pt>
                <c:pt idx="3">
                  <c:v>0</c:v>
                </c:pt>
                <c:pt idx="4">
                  <c:v>1.2</c:v>
                </c:pt>
                <c:pt idx="5">
                  <c:v>1.2</c:v>
                </c:pt>
              </c:numCache>
            </c:numRef>
          </c:val>
          <c:smooth val="1"/>
          <c:extLst>
            <c:ext xmlns:c16="http://schemas.microsoft.com/office/drawing/2014/chart" uri="{C3380CC4-5D6E-409C-BE32-E72D297353CC}">
              <c16:uniqueId val="{00000003-B44A-4246-9317-28EF06988B7E}"/>
            </c:ext>
          </c:extLst>
        </c:ser>
        <c:ser>
          <c:idx val="4"/>
          <c:order val="4"/>
          <c:tx>
            <c:strRef>
              <c:f>'Beta Trajectory'!$A$9</c:f>
              <c:strCache>
                <c:ptCount val="1"/>
                <c:pt idx="0">
                  <c:v>F5</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Trajectory'!$B$9:$G$9</c:f>
              <c:numCache>
                <c:formatCode>General</c:formatCode>
                <c:ptCount val="6"/>
                <c:pt idx="0">
                  <c:v>2</c:v>
                </c:pt>
                <c:pt idx="1">
                  <c:v>1</c:v>
                </c:pt>
                <c:pt idx="2">
                  <c:v>0</c:v>
                </c:pt>
                <c:pt idx="3">
                  <c:v>0</c:v>
                </c:pt>
                <c:pt idx="4">
                  <c:v>0.8</c:v>
                </c:pt>
                <c:pt idx="5">
                  <c:v>1</c:v>
                </c:pt>
              </c:numCache>
            </c:numRef>
          </c:val>
          <c:smooth val="1"/>
          <c:extLst>
            <c:ext xmlns:c16="http://schemas.microsoft.com/office/drawing/2014/chart" uri="{C3380CC4-5D6E-409C-BE32-E72D297353CC}">
              <c16:uniqueId val="{00000004-B44A-4246-9317-28EF06988B7E}"/>
            </c:ext>
          </c:extLst>
        </c:ser>
        <c:ser>
          <c:idx val="5"/>
          <c:order val="5"/>
          <c:tx>
            <c:strRef>
              <c:f>'Beta Trajectory'!$A$10</c:f>
              <c:strCache>
                <c:ptCount val="1"/>
                <c:pt idx="0">
                  <c:v>F6</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Trajectory'!$B$10:$G$10</c:f>
              <c:numCache>
                <c:formatCode>General</c:formatCode>
                <c:ptCount val="6"/>
                <c:pt idx="0">
                  <c:v>2</c:v>
                </c:pt>
                <c:pt idx="1">
                  <c:v>1.5</c:v>
                </c:pt>
                <c:pt idx="2">
                  <c:v>0</c:v>
                </c:pt>
                <c:pt idx="3">
                  <c:v>0</c:v>
                </c:pt>
                <c:pt idx="4">
                  <c:v>1.5</c:v>
                </c:pt>
                <c:pt idx="5">
                  <c:v>1.3</c:v>
                </c:pt>
              </c:numCache>
            </c:numRef>
          </c:val>
          <c:smooth val="1"/>
          <c:extLst>
            <c:ext xmlns:c16="http://schemas.microsoft.com/office/drawing/2014/chart" uri="{C3380CC4-5D6E-409C-BE32-E72D297353CC}">
              <c16:uniqueId val="{00000005-B44A-4246-9317-28EF06988B7E}"/>
            </c:ext>
          </c:extLst>
        </c:ser>
        <c:ser>
          <c:idx val="6"/>
          <c:order val="6"/>
          <c:tx>
            <c:strRef>
              <c:f>'Beta Trajectory'!$A$11</c:f>
              <c:strCache>
                <c:ptCount val="1"/>
                <c:pt idx="0">
                  <c:v>F7</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Trajectory'!$B$11:$G$11</c:f>
              <c:numCache>
                <c:formatCode>General</c:formatCode>
                <c:ptCount val="6"/>
                <c:pt idx="0">
                  <c:v>2</c:v>
                </c:pt>
                <c:pt idx="1">
                  <c:v>1.2</c:v>
                </c:pt>
                <c:pt idx="2">
                  <c:v>0</c:v>
                </c:pt>
                <c:pt idx="3">
                  <c:v>0</c:v>
                </c:pt>
                <c:pt idx="4">
                  <c:v>1.3</c:v>
                </c:pt>
                <c:pt idx="5">
                  <c:v>1.8</c:v>
                </c:pt>
              </c:numCache>
            </c:numRef>
          </c:val>
          <c:smooth val="1"/>
          <c:extLst>
            <c:ext xmlns:c16="http://schemas.microsoft.com/office/drawing/2014/chart" uri="{C3380CC4-5D6E-409C-BE32-E72D297353CC}">
              <c16:uniqueId val="{00000006-B44A-4246-9317-28EF06988B7E}"/>
            </c:ext>
          </c:extLst>
        </c:ser>
        <c:ser>
          <c:idx val="7"/>
          <c:order val="7"/>
          <c:tx>
            <c:strRef>
              <c:f>'Beta Trajectory'!$A$12</c:f>
              <c:strCache>
                <c:ptCount val="1"/>
                <c:pt idx="0">
                  <c:v>F8</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'Beta Trajectory'!$B$4:$G$4</c:f>
              <c:strCache>
                <c:ptCount val="6"/>
                <c:pt idx="0">
                  <c:v>Week 1</c:v>
                </c:pt>
                <c:pt idx="1">
                  <c:v>Week 2</c:v>
                </c:pt>
                <c:pt idx="2">
                  <c:v>Week 3</c:v>
                </c:pt>
                <c:pt idx="3">
                  <c:v>Week 4</c:v>
                </c:pt>
                <c:pt idx="4">
                  <c:v>Week 5</c:v>
                </c:pt>
                <c:pt idx="5">
                  <c:v>Week 6 (draft)</c:v>
                </c:pt>
              </c:strCache>
            </c:strRef>
          </c:cat>
          <c:val>
            <c:numRef>
              <c:f>'Beta Trajectory'!$B$12:$G$12</c:f>
              <c:numCache>
                <c:formatCode>General</c:formatCode>
                <c:ptCount val="6"/>
                <c:pt idx="0">
                  <c:v>2</c:v>
                </c:pt>
                <c:pt idx="1">
                  <c:v>1.5</c:v>
                </c:pt>
                <c:pt idx="2">
                  <c:v>0</c:v>
                </c:pt>
                <c:pt idx="3">
                  <c:v>0</c:v>
                </c:pt>
                <c:pt idx="4">
                  <c:v>1.4</c:v>
                </c:pt>
                <c:pt idx="5">
                  <c:v>0.8</c:v>
                </c:pt>
              </c:numCache>
            </c:numRef>
          </c:val>
          <c:smooth val="1"/>
          <c:extLst>
            <c:ext xmlns:c16="http://schemas.microsoft.com/office/drawing/2014/chart" uri="{C3380CC4-5D6E-409C-BE32-E72D297353CC}">
              <c16:uniqueId val="{00000007-B44A-4246-9317-28EF06988B7E}"/>
            </c:ext>
          </c:extLst>
        </c:ser>
        <c:dLbls>
          <c:showLegendKey val="0"/>
          <c:showVal val="0"/>
          <c:showCatName val="0"/>
          <c:showSerName val="0"/>
          <c:showPercent val="0"/>
          <c:showBubbleSize val="0"/>
        </c:dLbls>
        <c:hiLowLines>
          <c:spPr>
            <a:ln w="0">
              <a:noFill/>
            </a:ln>
          </c:spPr>
        </c:hiLowLines>
        <c:smooth val="0"/>
        <c:axId val="3437097"/>
        <c:axId val="27748606"/>
      </c:lineChart>
      <c:catAx>
        <c:axId val="343709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Week</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7748606"/>
        <c:crosses val="autoZero"/>
        <c:auto val="1"/>
        <c:lblAlgn val="ctr"/>
        <c:lblOffset val="100"/>
        <c:noMultiLvlLbl val="0"/>
      </c:catAx>
      <c:valAx>
        <c:axId val="2774860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Beta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4370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10</xdr:col>
      <xdr:colOff>148320</xdr:colOff>
      <xdr:row>30</xdr:row>
      <xdr:rowOff>190440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tabSelected="1" zoomScaleNormal="100" workbookViewId="0">
      <selection activeCell="K8" sqref="K8"/>
    </sheetView>
  </sheetViews>
  <sheetFormatPr defaultColWidth="8.7109375" defaultRowHeight="15" x14ac:dyDescent="0.25"/>
  <cols>
    <col min="1" max="1" width="26" customWidth="1"/>
    <col min="2" max="6" width="18" customWidth="1"/>
  </cols>
  <sheetData>
    <row r="1" spans="1:6" ht="21.75" customHeight="1" x14ac:dyDescent="0.25">
      <c r="A1" s="13" t="s">
        <v>0</v>
      </c>
      <c r="B1" s="13"/>
      <c r="C1" s="13"/>
      <c r="D1" s="13"/>
      <c r="E1" s="13"/>
      <c r="F1" s="13"/>
    </row>
    <row r="3" spans="1:6" ht="42" customHeight="1" x14ac:dyDescent="0.25">
      <c r="A3" s="14" t="s">
        <v>1</v>
      </c>
      <c r="B3" s="12" t="s">
        <v>2</v>
      </c>
      <c r="C3" s="12"/>
      <c r="D3" s="12"/>
      <c r="E3" s="12"/>
      <c r="F3" s="12"/>
    </row>
    <row r="4" spans="1:6" ht="42" customHeight="1" x14ac:dyDescent="0.25">
      <c r="A4" s="14" t="s">
        <v>3</v>
      </c>
      <c r="B4" s="11" t="s">
        <v>4</v>
      </c>
      <c r="C4" s="11"/>
      <c r="D4" s="11"/>
      <c r="E4" s="11"/>
      <c r="F4" s="11"/>
    </row>
    <row r="5" spans="1:6" ht="42" customHeight="1" x14ac:dyDescent="0.25">
      <c r="A5" s="14" t="s">
        <v>5</v>
      </c>
      <c r="B5" s="12" t="s">
        <v>6</v>
      </c>
      <c r="C5" s="12"/>
      <c r="D5" s="12"/>
      <c r="E5" s="12"/>
      <c r="F5" s="12"/>
    </row>
    <row r="6" spans="1:6" ht="42" customHeight="1" x14ac:dyDescent="0.25">
      <c r="A6" s="14" t="s">
        <v>7</v>
      </c>
      <c r="B6" s="11" t="s">
        <v>8</v>
      </c>
      <c r="C6" s="11"/>
      <c r="D6" s="11"/>
      <c r="E6" s="11"/>
      <c r="F6" s="11"/>
    </row>
    <row r="7" spans="1:6" ht="42" customHeight="1" x14ac:dyDescent="0.25">
      <c r="A7" s="14" t="s">
        <v>9</v>
      </c>
      <c r="B7" s="12" t="s">
        <v>10</v>
      </c>
      <c r="C7" s="12"/>
      <c r="D7" s="12"/>
      <c r="E7" s="12"/>
      <c r="F7" s="12"/>
    </row>
    <row r="8" spans="1:6" ht="42" customHeight="1" x14ac:dyDescent="0.25">
      <c r="A8" s="14" t="s">
        <v>11</v>
      </c>
      <c r="B8" s="11" t="s">
        <v>12</v>
      </c>
      <c r="C8" s="11"/>
      <c r="D8" s="11"/>
      <c r="E8" s="11"/>
      <c r="F8" s="11"/>
    </row>
    <row r="9" spans="1:6" ht="42" customHeight="1" x14ac:dyDescent="0.25">
      <c r="A9" s="14" t="s">
        <v>13</v>
      </c>
      <c r="B9" s="12" t="s">
        <v>14</v>
      </c>
      <c r="C9" s="12"/>
      <c r="D9" s="12"/>
      <c r="E9" s="12"/>
      <c r="F9" s="12"/>
    </row>
    <row r="10" spans="1:6" ht="42" customHeight="1" x14ac:dyDescent="0.25">
      <c r="A10" s="14" t="s">
        <v>15</v>
      </c>
      <c r="B10" s="11" t="s">
        <v>16</v>
      </c>
      <c r="C10" s="11"/>
      <c r="D10" s="11"/>
      <c r="E10" s="11"/>
      <c r="F10" s="11"/>
    </row>
  </sheetData>
  <mergeCells count="9">
    <mergeCell ref="B7:F7"/>
    <mergeCell ref="B8:F8"/>
    <mergeCell ref="B9:F9"/>
    <mergeCell ref="B10:F10"/>
    <mergeCell ref="A1:F1"/>
    <mergeCell ref="B3:F3"/>
    <mergeCell ref="B4:F4"/>
    <mergeCell ref="B5:F5"/>
    <mergeCell ref="B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showGridLines="0" zoomScaleNormal="100" workbookViewId="0"/>
  </sheetViews>
  <sheetFormatPr defaultColWidth="8.7109375" defaultRowHeight="15" x14ac:dyDescent="0.25"/>
  <cols>
    <col min="1" max="1" width="6" customWidth="1"/>
    <col min="2" max="2" width="7" customWidth="1"/>
    <col min="3" max="3" width="32" customWidth="1"/>
    <col min="4" max="5" width="16" customWidth="1"/>
    <col min="6" max="6" width="11" customWidth="1"/>
    <col min="7" max="7" width="14" customWidth="1"/>
    <col min="8" max="8" width="46" customWidth="1"/>
  </cols>
  <sheetData>
    <row r="1" spans="1:8" ht="21.75" customHeight="1" x14ac:dyDescent="0.25">
      <c r="A1" s="10" t="s">
        <v>3</v>
      </c>
      <c r="B1" s="10"/>
      <c r="C1" s="10"/>
      <c r="D1" s="10"/>
      <c r="E1" s="10"/>
      <c r="F1" s="10"/>
      <c r="G1" s="10"/>
      <c r="H1" s="10"/>
    </row>
    <row r="2" spans="1:8" ht="27.75" customHeight="1" x14ac:dyDescent="0.25">
      <c r="A2" s="9" t="s">
        <v>17</v>
      </c>
      <c r="B2" s="9"/>
      <c r="C2" s="9"/>
      <c r="D2" s="9"/>
      <c r="E2" s="9"/>
      <c r="F2" s="9"/>
      <c r="G2" s="9"/>
      <c r="H2" s="9"/>
    </row>
    <row r="4" spans="1:8" ht="25.5" customHeight="1" x14ac:dyDescent="0.25">
      <c r="A4" s="14" t="s">
        <v>18</v>
      </c>
      <c r="B4" s="14" t="s">
        <v>19</v>
      </c>
      <c r="C4" s="14" t="s">
        <v>20</v>
      </c>
      <c r="D4" s="14" t="s">
        <v>21</v>
      </c>
      <c r="E4" s="14" t="s">
        <v>22</v>
      </c>
      <c r="F4" s="14" t="s">
        <v>23</v>
      </c>
      <c r="G4" s="14" t="s">
        <v>24</v>
      </c>
      <c r="H4" s="14" t="s">
        <v>25</v>
      </c>
    </row>
    <row r="5" spans="1:8" ht="15" customHeight="1" x14ac:dyDescent="0.25">
      <c r="A5" s="15" t="s">
        <v>26</v>
      </c>
      <c r="B5" s="15">
        <v>2</v>
      </c>
      <c r="C5" s="16" t="s">
        <v>27</v>
      </c>
      <c r="D5" s="15" t="s">
        <v>28</v>
      </c>
      <c r="E5" s="15" t="s">
        <v>29</v>
      </c>
      <c r="F5" s="17" t="s">
        <v>30</v>
      </c>
      <c r="G5" s="15" t="s">
        <v>31</v>
      </c>
      <c r="H5" s="15" t="s">
        <v>32</v>
      </c>
    </row>
    <row r="6" spans="1:8" ht="15" customHeight="1" x14ac:dyDescent="0.25">
      <c r="A6" s="18" t="s">
        <v>33</v>
      </c>
      <c r="B6" s="18">
        <v>2</v>
      </c>
      <c r="C6" s="16" t="s">
        <v>34</v>
      </c>
      <c r="D6" s="18" t="s">
        <v>35</v>
      </c>
      <c r="E6" s="18" t="s">
        <v>36</v>
      </c>
      <c r="F6" s="17" t="s">
        <v>30</v>
      </c>
      <c r="G6" s="18" t="s">
        <v>37</v>
      </c>
      <c r="H6" s="18" t="s">
        <v>38</v>
      </c>
    </row>
    <row r="7" spans="1:8" ht="15" customHeight="1" x14ac:dyDescent="0.25">
      <c r="A7" s="15" t="s">
        <v>39</v>
      </c>
      <c r="B7" s="15">
        <v>3</v>
      </c>
      <c r="C7" s="16" t="s">
        <v>40</v>
      </c>
      <c r="D7" s="15" t="s">
        <v>41</v>
      </c>
      <c r="E7" s="15" t="s">
        <v>42</v>
      </c>
      <c r="F7" s="17" t="s">
        <v>30</v>
      </c>
      <c r="G7" s="15" t="s">
        <v>43</v>
      </c>
      <c r="H7" s="15" t="s">
        <v>44</v>
      </c>
    </row>
    <row r="8" spans="1:8" ht="15" customHeight="1" x14ac:dyDescent="0.25">
      <c r="A8" s="18" t="s">
        <v>45</v>
      </c>
      <c r="B8" s="18">
        <v>4</v>
      </c>
      <c r="C8" s="16" t="s">
        <v>46</v>
      </c>
      <c r="D8" s="18" t="s">
        <v>47</v>
      </c>
      <c r="E8" s="18" t="s">
        <v>48</v>
      </c>
      <c r="F8" s="17" t="s">
        <v>30</v>
      </c>
      <c r="G8" s="18" t="s">
        <v>49</v>
      </c>
      <c r="H8" s="18" t="s">
        <v>50</v>
      </c>
    </row>
    <row r="9" spans="1:8" ht="15" customHeight="1" x14ac:dyDescent="0.25">
      <c r="A9" s="15" t="s">
        <v>51</v>
      </c>
      <c r="B9" s="15">
        <v>4</v>
      </c>
      <c r="C9" s="16" t="s">
        <v>52</v>
      </c>
      <c r="D9" s="15" t="s">
        <v>53</v>
      </c>
      <c r="E9" s="15" t="s">
        <v>54</v>
      </c>
      <c r="F9" s="17" t="s">
        <v>30</v>
      </c>
      <c r="G9" s="15" t="s">
        <v>55</v>
      </c>
      <c r="H9" s="15" t="s">
        <v>56</v>
      </c>
    </row>
    <row r="10" spans="1:8" ht="15" customHeight="1" x14ac:dyDescent="0.25">
      <c r="A10" s="18" t="s">
        <v>57</v>
      </c>
      <c r="B10" s="18">
        <v>5</v>
      </c>
      <c r="C10" s="16" t="s">
        <v>58</v>
      </c>
      <c r="D10" s="18" t="s">
        <v>59</v>
      </c>
      <c r="E10" s="18" t="s">
        <v>60</v>
      </c>
      <c r="F10" s="17" t="s">
        <v>30</v>
      </c>
      <c r="G10" s="18" t="s">
        <v>61</v>
      </c>
      <c r="H10" s="18" t="s">
        <v>62</v>
      </c>
    </row>
    <row r="11" spans="1:8" ht="15" customHeight="1" x14ac:dyDescent="0.25">
      <c r="A11" s="15" t="s">
        <v>63</v>
      </c>
      <c r="B11" s="15">
        <v>6</v>
      </c>
      <c r="C11" s="16" t="s">
        <v>64</v>
      </c>
      <c r="D11" s="15" t="s">
        <v>65</v>
      </c>
      <c r="E11" s="15" t="s">
        <v>66</v>
      </c>
      <c r="F11" s="17" t="s">
        <v>30</v>
      </c>
      <c r="G11" s="15" t="s">
        <v>67</v>
      </c>
      <c r="H11" s="15" t="s">
        <v>68</v>
      </c>
    </row>
    <row r="12" spans="1:8" ht="15" customHeight="1" x14ac:dyDescent="0.25">
      <c r="A12" s="18" t="s">
        <v>69</v>
      </c>
      <c r="B12" s="18">
        <v>8</v>
      </c>
      <c r="C12" s="16" t="s">
        <v>70</v>
      </c>
      <c r="D12" s="18" t="s">
        <v>71</v>
      </c>
      <c r="E12" s="18" t="s">
        <v>72</v>
      </c>
      <c r="F12" s="19" t="s">
        <v>73</v>
      </c>
      <c r="G12" s="18" t="s">
        <v>74</v>
      </c>
      <c r="H12" s="18" t="s">
        <v>75</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zoomScaleNormal="100" workbookViewId="0"/>
  </sheetViews>
  <sheetFormatPr defaultColWidth="8.7109375" defaultRowHeight="15" x14ac:dyDescent="0.25"/>
  <cols>
    <col min="1" max="2" width="6" customWidth="1"/>
    <col min="3" max="3" width="9" customWidth="1"/>
    <col min="4" max="4" width="10" customWidth="1"/>
    <col min="5" max="5" width="9" customWidth="1"/>
    <col min="6" max="6" width="12" customWidth="1"/>
    <col min="7" max="7" width="10" customWidth="1"/>
    <col min="8" max="8" width="11" customWidth="1"/>
    <col min="9" max="9" width="9" customWidth="1"/>
    <col min="10" max="11" width="11" customWidth="1"/>
  </cols>
  <sheetData>
    <row r="1" spans="1:11" ht="21.75" customHeight="1" x14ac:dyDescent="0.25">
      <c r="A1" s="10" t="s">
        <v>76</v>
      </c>
      <c r="B1" s="10"/>
      <c r="C1" s="10"/>
      <c r="D1" s="10"/>
      <c r="E1" s="10"/>
      <c r="F1" s="10"/>
      <c r="G1" s="10"/>
      <c r="H1" s="10"/>
      <c r="I1" s="10"/>
      <c r="J1" s="10"/>
      <c r="K1" s="10"/>
    </row>
    <row r="2" spans="1:11" ht="27.75" customHeight="1" x14ac:dyDescent="0.25">
      <c r="A2" s="9" t="s">
        <v>77</v>
      </c>
      <c r="B2" s="9"/>
      <c r="C2" s="9"/>
      <c r="D2" s="9"/>
      <c r="E2" s="9"/>
      <c r="F2" s="9"/>
      <c r="G2" s="9"/>
      <c r="H2" s="9"/>
      <c r="I2" s="9"/>
      <c r="J2" s="9"/>
      <c r="K2" s="9"/>
    </row>
    <row r="4" spans="1:11" ht="25.5" customHeight="1" x14ac:dyDescent="0.25">
      <c r="A4" s="14" t="s">
        <v>18</v>
      </c>
      <c r="B4" s="14" t="s">
        <v>78</v>
      </c>
      <c r="C4" s="14" t="s">
        <v>79</v>
      </c>
      <c r="D4" s="14" t="s">
        <v>80</v>
      </c>
      <c r="E4" s="14" t="s">
        <v>81</v>
      </c>
      <c r="F4" s="14" t="s">
        <v>82</v>
      </c>
      <c r="G4" s="14" t="s">
        <v>83</v>
      </c>
      <c r="H4" s="14" t="s">
        <v>84</v>
      </c>
      <c r="I4" s="14" t="s">
        <v>85</v>
      </c>
      <c r="J4" s="14" t="s">
        <v>86</v>
      </c>
      <c r="K4" s="14" t="s">
        <v>87</v>
      </c>
    </row>
    <row r="5" spans="1:11" ht="15" customHeight="1" x14ac:dyDescent="0.25">
      <c r="A5" s="15" t="s">
        <v>26</v>
      </c>
      <c r="B5" s="15">
        <v>15</v>
      </c>
      <c r="C5" s="15">
        <v>1.4E-2</v>
      </c>
      <c r="D5" s="15">
        <v>0</v>
      </c>
      <c r="E5" s="15">
        <v>2.1219999999999999</v>
      </c>
      <c r="F5" s="15">
        <v>-2.0000000000000001E-4</v>
      </c>
      <c r="G5" s="17" t="s">
        <v>88</v>
      </c>
      <c r="H5" s="17" t="s">
        <v>88</v>
      </c>
      <c r="I5" s="19" t="s">
        <v>73</v>
      </c>
      <c r="J5" s="17" t="s">
        <v>88</v>
      </c>
      <c r="K5" s="20" t="s">
        <v>89</v>
      </c>
    </row>
    <row r="6" spans="1:11" ht="15" customHeight="1" x14ac:dyDescent="0.25">
      <c r="A6" s="18" t="s">
        <v>33</v>
      </c>
      <c r="B6" s="18">
        <v>15</v>
      </c>
      <c r="C6" s="18">
        <v>0.312</v>
      </c>
      <c r="D6" s="18">
        <v>0.24299999999999999</v>
      </c>
      <c r="E6" s="18">
        <v>2.2290000000000001</v>
      </c>
      <c r="F6" s="18">
        <v>0.17660000000000001</v>
      </c>
      <c r="G6" s="19" t="s">
        <v>73</v>
      </c>
      <c r="H6" s="19" t="s">
        <v>73</v>
      </c>
      <c r="I6" s="19" t="s">
        <v>73</v>
      </c>
      <c r="J6" s="17" t="s">
        <v>88</v>
      </c>
      <c r="K6" s="20" t="s">
        <v>89</v>
      </c>
    </row>
    <row r="7" spans="1:11" ht="15" customHeight="1" x14ac:dyDescent="0.25">
      <c r="A7" s="15" t="s">
        <v>39</v>
      </c>
      <c r="B7" s="15">
        <v>20</v>
      </c>
      <c r="C7" s="15">
        <v>0.26600000000000001</v>
      </c>
      <c r="D7" s="15">
        <v>1.4999999999999999E-2</v>
      </c>
      <c r="E7" s="15">
        <v>1.825</v>
      </c>
      <c r="F7" s="15">
        <v>-9.35E-2</v>
      </c>
      <c r="G7" s="17" t="s">
        <v>88</v>
      </c>
      <c r="H7" s="17" t="s">
        <v>88</v>
      </c>
      <c r="I7" s="19" t="s">
        <v>73</v>
      </c>
      <c r="J7" s="17" t="s">
        <v>88</v>
      </c>
      <c r="K7" s="20" t="s">
        <v>89</v>
      </c>
    </row>
    <row r="8" spans="1:11" ht="15" customHeight="1" x14ac:dyDescent="0.25">
      <c r="A8" s="18" t="s">
        <v>45</v>
      </c>
      <c r="B8" s="18">
        <v>35</v>
      </c>
      <c r="C8" s="18">
        <v>0.42899999999999999</v>
      </c>
      <c r="D8" s="18">
        <v>5.0000000000000001E-3</v>
      </c>
      <c r="E8" s="18">
        <v>0.94699999999999995</v>
      </c>
      <c r="F8" s="18">
        <v>-5.5633999999999997</v>
      </c>
      <c r="G8" s="19" t="s">
        <v>73</v>
      </c>
      <c r="H8" s="17" t="s">
        <v>88</v>
      </c>
      <c r="I8" s="17" t="s">
        <v>88</v>
      </c>
      <c r="J8" s="17" t="s">
        <v>88</v>
      </c>
      <c r="K8" s="20" t="s">
        <v>89</v>
      </c>
    </row>
    <row r="9" spans="1:11" ht="15" customHeight="1" x14ac:dyDescent="0.25">
      <c r="A9" s="15" t="s">
        <v>51</v>
      </c>
      <c r="B9" s="15">
        <v>25</v>
      </c>
      <c r="C9" s="15">
        <v>0.753</v>
      </c>
      <c r="D9" s="15">
        <v>0.59099999999999997</v>
      </c>
      <c r="E9" s="15">
        <v>1.4019999999999999</v>
      </c>
      <c r="F9" s="15">
        <v>3713.0032999999999</v>
      </c>
      <c r="G9" s="19" t="s">
        <v>73</v>
      </c>
      <c r="H9" s="19" t="s">
        <v>73</v>
      </c>
      <c r="I9" s="17" t="s">
        <v>88</v>
      </c>
      <c r="J9" s="17" t="s">
        <v>88</v>
      </c>
      <c r="K9" s="20" t="s">
        <v>89</v>
      </c>
    </row>
    <row r="10" spans="1:11" ht="15" customHeight="1" x14ac:dyDescent="0.25">
      <c r="A10" s="18" t="s">
        <v>57</v>
      </c>
      <c r="B10" s="18">
        <v>25</v>
      </c>
      <c r="C10" s="18">
        <v>0.74299999999999999</v>
      </c>
      <c r="D10" s="18">
        <v>0.56799999999999995</v>
      </c>
      <c r="E10" s="18">
        <v>1.804</v>
      </c>
      <c r="F10" s="18">
        <v>-0.83530000000000004</v>
      </c>
      <c r="G10" s="19" t="s">
        <v>73</v>
      </c>
      <c r="H10" s="19" t="s">
        <v>73</v>
      </c>
      <c r="I10" s="19" t="s">
        <v>73</v>
      </c>
      <c r="J10" s="17" t="s">
        <v>88</v>
      </c>
      <c r="K10" s="20" t="s">
        <v>89</v>
      </c>
    </row>
    <row r="11" spans="1:11" ht="15" customHeight="1" x14ac:dyDescent="0.25">
      <c r="A11" s="15" t="s">
        <v>63</v>
      </c>
      <c r="B11" s="15">
        <v>35</v>
      </c>
      <c r="C11" s="15">
        <v>0.50700000000000001</v>
      </c>
      <c r="D11" s="15">
        <v>0.152</v>
      </c>
      <c r="E11" s="15">
        <v>1.07</v>
      </c>
      <c r="F11" s="15">
        <v>0.84289999999999998</v>
      </c>
      <c r="G11" s="19" t="s">
        <v>73</v>
      </c>
      <c r="H11" s="19" t="s">
        <v>73</v>
      </c>
      <c r="I11" s="17" t="s">
        <v>88</v>
      </c>
      <c r="J11" s="17" t="s">
        <v>88</v>
      </c>
      <c r="K11" s="20" t="s">
        <v>89</v>
      </c>
    </row>
    <row r="12" spans="1:11" ht="15" customHeight="1" x14ac:dyDescent="0.25">
      <c r="A12" s="18" t="s">
        <v>69</v>
      </c>
      <c r="B12" s="18">
        <v>45</v>
      </c>
      <c r="C12" s="18">
        <v>0.92200000000000004</v>
      </c>
      <c r="D12" s="18">
        <v>0.18</v>
      </c>
      <c r="E12" s="18">
        <v>2.3460000000000001</v>
      </c>
      <c r="F12" s="18">
        <v>10.367699999999999</v>
      </c>
      <c r="G12" s="19" t="s">
        <v>73</v>
      </c>
      <c r="H12" s="19" t="s">
        <v>73</v>
      </c>
      <c r="I12" s="19" t="s">
        <v>73</v>
      </c>
      <c r="J12" s="19" t="s">
        <v>73</v>
      </c>
      <c r="K12" s="19" t="s">
        <v>90</v>
      </c>
    </row>
    <row r="14" spans="1:11" ht="27.75" customHeight="1" x14ac:dyDescent="0.25">
      <c r="A14" s="8" t="s">
        <v>91</v>
      </c>
      <c r="B14" s="8"/>
      <c r="C14" s="8"/>
      <c r="D14" s="8"/>
      <c r="E14" s="8"/>
      <c r="F14" s="8"/>
      <c r="G14" s="8"/>
      <c r="H14" s="8"/>
      <c r="I14" s="8"/>
      <c r="J14" s="8"/>
      <c r="K14" s="8"/>
    </row>
  </sheetData>
  <mergeCells count="3">
    <mergeCell ref="A1:K1"/>
    <mergeCell ref="A2:K2"/>
    <mergeCell ref="A14:K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showGridLines="0" zoomScaleNormal="100" workbookViewId="0"/>
  </sheetViews>
  <sheetFormatPr defaultColWidth="8.7109375" defaultRowHeight="15" x14ac:dyDescent="0.25"/>
  <cols>
    <col min="1" max="2" width="6" customWidth="1"/>
    <col min="3" max="3" width="12" customWidth="1"/>
    <col min="4" max="5" width="14" customWidth="1"/>
    <col min="6" max="6" width="15" customWidth="1"/>
    <col min="7" max="7" width="14" customWidth="1"/>
  </cols>
  <sheetData>
    <row r="1" spans="1:7" ht="21.75" customHeight="1" x14ac:dyDescent="0.25">
      <c r="A1" s="10" t="s">
        <v>92</v>
      </c>
      <c r="B1" s="10"/>
      <c r="C1" s="10"/>
      <c r="D1" s="10"/>
      <c r="E1" s="10"/>
      <c r="F1" s="10"/>
      <c r="G1" s="10"/>
    </row>
    <row r="2" spans="1:7" ht="27.75" customHeight="1" x14ac:dyDescent="0.25">
      <c r="A2" s="9" t="s">
        <v>93</v>
      </c>
      <c r="B2" s="9"/>
      <c r="C2" s="9"/>
      <c r="D2" s="9"/>
      <c r="E2" s="9"/>
      <c r="F2" s="9"/>
      <c r="G2" s="9"/>
    </row>
    <row r="4" spans="1:7" ht="25.5" customHeight="1" x14ac:dyDescent="0.25">
      <c r="A4" s="14" t="s">
        <v>18</v>
      </c>
      <c r="B4" s="14" t="s">
        <v>78</v>
      </c>
      <c r="C4" s="14" t="s">
        <v>94</v>
      </c>
      <c r="D4" s="14" t="s">
        <v>95</v>
      </c>
      <c r="E4" s="14" t="s">
        <v>96</v>
      </c>
      <c r="F4" s="14" t="s">
        <v>97</v>
      </c>
      <c r="G4" s="14" t="s">
        <v>98</v>
      </c>
    </row>
    <row r="5" spans="1:7" ht="15" customHeight="1" x14ac:dyDescent="0.25">
      <c r="A5" s="15" t="s">
        <v>26</v>
      </c>
      <c r="B5" s="15">
        <v>15</v>
      </c>
      <c r="C5" s="15">
        <v>-1.262</v>
      </c>
      <c r="D5" s="15">
        <v>-0.48</v>
      </c>
      <c r="E5" s="15">
        <v>-0.59399999999999997</v>
      </c>
      <c r="F5" s="15">
        <v>-1.262</v>
      </c>
      <c r="G5" s="21" t="s">
        <v>99</v>
      </c>
    </row>
    <row r="6" spans="1:7" ht="15" customHeight="1" x14ac:dyDescent="0.25">
      <c r="A6" s="18" t="s">
        <v>33</v>
      </c>
      <c r="B6" s="18">
        <v>15</v>
      </c>
      <c r="C6" s="18">
        <v>0.63100000000000001</v>
      </c>
      <c r="D6" s="18">
        <v>0.65700000000000003</v>
      </c>
      <c r="E6" s="18">
        <v>0.435</v>
      </c>
      <c r="F6" s="18">
        <v>0.63600000000000001</v>
      </c>
      <c r="G6" s="22" t="s">
        <v>99</v>
      </c>
    </row>
    <row r="7" spans="1:7" ht="15" customHeight="1" x14ac:dyDescent="0.25">
      <c r="A7" s="15" t="s">
        <v>39</v>
      </c>
      <c r="B7" s="15">
        <v>20</v>
      </c>
      <c r="C7" s="15">
        <v>-0.17699999999999999</v>
      </c>
      <c r="D7" s="15">
        <v>-0.23100000000000001</v>
      </c>
      <c r="E7" s="15">
        <v>-0.217</v>
      </c>
      <c r="F7" s="15">
        <v>-0.13</v>
      </c>
      <c r="G7" s="21" t="s">
        <v>100</v>
      </c>
    </row>
    <row r="8" spans="1:7" ht="15" customHeight="1" x14ac:dyDescent="0.25">
      <c r="A8" s="18" t="s">
        <v>45</v>
      </c>
      <c r="B8" s="18">
        <v>35</v>
      </c>
      <c r="C8" s="18">
        <v>0.70799999999999996</v>
      </c>
      <c r="D8" s="18">
        <v>0.97299999999999998</v>
      </c>
      <c r="E8" s="18">
        <v>0.90100000000000002</v>
      </c>
      <c r="F8" s="18">
        <v>0.94199999999999995</v>
      </c>
      <c r="G8" s="22" t="s">
        <v>99</v>
      </c>
    </row>
    <row r="9" spans="1:7" ht="15" customHeight="1" x14ac:dyDescent="0.25">
      <c r="A9" s="15" t="s">
        <v>51</v>
      </c>
      <c r="B9" s="15">
        <v>25</v>
      </c>
      <c r="C9" s="15">
        <v>0.93500000000000005</v>
      </c>
      <c r="D9" s="15">
        <v>0.97399999999999998</v>
      </c>
      <c r="E9" s="15">
        <v>0.97199999999999998</v>
      </c>
      <c r="F9" s="15">
        <v>0.94899999999999995</v>
      </c>
      <c r="G9" s="21" t="s">
        <v>99</v>
      </c>
    </row>
    <row r="10" spans="1:7" ht="15" customHeight="1" x14ac:dyDescent="0.25">
      <c r="A10" s="18" t="s">
        <v>57</v>
      </c>
      <c r="B10" s="18">
        <v>25</v>
      </c>
      <c r="C10" s="18">
        <v>0.499</v>
      </c>
      <c r="D10" s="18">
        <v>0.71899999999999997</v>
      </c>
      <c r="E10" s="18">
        <v>0.60199999999999998</v>
      </c>
      <c r="F10" s="18">
        <v>0.77300000000000002</v>
      </c>
      <c r="G10" s="22" t="s">
        <v>100</v>
      </c>
    </row>
    <row r="11" spans="1:7" ht="15" customHeight="1" x14ac:dyDescent="0.25">
      <c r="A11" s="15" t="s">
        <v>63</v>
      </c>
      <c r="B11" s="15">
        <v>35</v>
      </c>
      <c r="C11" s="15">
        <v>0.82299999999999995</v>
      </c>
      <c r="D11" s="15">
        <v>0.83799999999999997</v>
      </c>
      <c r="E11" s="15">
        <v>0.79800000000000004</v>
      </c>
      <c r="F11" s="15">
        <v>0.746</v>
      </c>
      <c r="G11" s="21" t="s">
        <v>99</v>
      </c>
    </row>
    <row r="12" spans="1:7" ht="15" customHeight="1" x14ac:dyDescent="0.25">
      <c r="A12" s="18" t="s">
        <v>69</v>
      </c>
      <c r="B12" s="18">
        <v>45</v>
      </c>
      <c r="C12" s="18">
        <v>0.97699999999999998</v>
      </c>
      <c r="D12" s="18">
        <v>0.98299999999999998</v>
      </c>
      <c r="E12" s="18">
        <v>0.98899999999999999</v>
      </c>
      <c r="F12" s="18">
        <v>0.99199999999999999</v>
      </c>
      <c r="G12" s="22" t="s">
        <v>100</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
  <sheetViews>
    <sheetView showGridLines="0" zoomScaleNormal="100" workbookViewId="0"/>
  </sheetViews>
  <sheetFormatPr defaultColWidth="8.7109375" defaultRowHeight="15" x14ac:dyDescent="0.25"/>
  <cols>
    <col min="1" max="1" width="14" customWidth="1"/>
    <col min="2" max="2" width="16" customWidth="1"/>
    <col min="3" max="3" width="50" customWidth="1"/>
    <col min="4" max="5" width="12" customWidth="1"/>
  </cols>
  <sheetData>
    <row r="1" spans="1:5" ht="21.75" customHeight="1" x14ac:dyDescent="0.25">
      <c r="A1" s="10" t="s">
        <v>101</v>
      </c>
      <c r="B1" s="10"/>
      <c r="C1" s="10"/>
      <c r="D1" s="10"/>
      <c r="E1" s="10"/>
    </row>
    <row r="2" spans="1:5" ht="27.75" customHeight="1" x14ac:dyDescent="0.25">
      <c r="A2" s="9" t="s">
        <v>102</v>
      </c>
      <c r="B2" s="9"/>
      <c r="C2" s="9"/>
      <c r="D2" s="9"/>
      <c r="E2" s="9"/>
    </row>
    <row r="4" spans="1:5" ht="25.5" customHeight="1" x14ac:dyDescent="0.25">
      <c r="A4" s="14" t="s">
        <v>103</v>
      </c>
      <c r="B4" s="14" t="s">
        <v>104</v>
      </c>
      <c r="C4" s="14" t="s">
        <v>105</v>
      </c>
      <c r="D4" s="14" t="s">
        <v>106</v>
      </c>
      <c r="E4" s="14" t="s">
        <v>107</v>
      </c>
    </row>
    <row r="5" spans="1:5" ht="15" customHeight="1" x14ac:dyDescent="0.25">
      <c r="A5" s="15" t="s">
        <v>108</v>
      </c>
      <c r="B5" s="15">
        <v>-987.22879999999998</v>
      </c>
      <c r="C5" s="15">
        <v>238.58600000000001</v>
      </c>
      <c r="D5" s="15">
        <v>-4.1379999999999999</v>
      </c>
      <c r="E5" s="19">
        <v>1.4E-2</v>
      </c>
    </row>
    <row r="6" spans="1:5" ht="15" customHeight="1" x14ac:dyDescent="0.25">
      <c r="A6" s="18" t="s">
        <v>109</v>
      </c>
      <c r="B6" s="18">
        <v>1820.21</v>
      </c>
      <c r="C6" s="18">
        <v>500.06599999999997</v>
      </c>
      <c r="D6" s="18">
        <v>3.64</v>
      </c>
      <c r="E6" s="19">
        <v>2.1999999999999999E-2</v>
      </c>
    </row>
    <row r="7" spans="1:5" ht="15" customHeight="1" x14ac:dyDescent="0.25">
      <c r="A7" s="15" t="s">
        <v>110</v>
      </c>
      <c r="B7" s="15">
        <v>-1734.2967000000001</v>
      </c>
      <c r="C7" s="15">
        <v>555.48299999999995</v>
      </c>
      <c r="D7" s="15">
        <v>-3.1219999999999999</v>
      </c>
      <c r="E7" s="19">
        <v>3.5000000000000003E-2</v>
      </c>
    </row>
    <row r="8" spans="1:5" ht="15" customHeight="1" x14ac:dyDescent="0.25">
      <c r="A8" s="18" t="s">
        <v>111</v>
      </c>
      <c r="B8" s="18">
        <v>2252.1527000000001</v>
      </c>
      <c r="C8" s="18">
        <v>822.97500000000002</v>
      </c>
      <c r="D8" s="18">
        <v>2.7370000000000001</v>
      </c>
      <c r="E8" s="20">
        <v>5.1999999999999998E-2</v>
      </c>
    </row>
    <row r="9" spans="1:5" ht="15" customHeight="1" x14ac:dyDescent="0.25">
      <c r="A9" s="15" t="s">
        <v>112</v>
      </c>
      <c r="B9" s="15">
        <v>-2060.2806999999998</v>
      </c>
      <c r="C9" s="15">
        <v>644.81399999999996</v>
      </c>
      <c r="D9" s="15">
        <v>-3.1949999999999998</v>
      </c>
      <c r="E9" s="19">
        <v>3.3000000000000002E-2</v>
      </c>
    </row>
    <row r="11" spans="1:5" ht="15" customHeight="1" x14ac:dyDescent="0.25">
      <c r="A11" s="7" t="s">
        <v>113</v>
      </c>
      <c r="B11" s="7"/>
      <c r="C11" s="7"/>
      <c r="D11" s="6">
        <v>0.88900000000000001</v>
      </c>
      <c r="E11" s="6"/>
    </row>
    <row r="12" spans="1:5" ht="15" customHeight="1" x14ac:dyDescent="0.25">
      <c r="A12" s="5" t="s">
        <v>114</v>
      </c>
      <c r="B12" s="5"/>
      <c r="C12" s="5"/>
      <c r="D12" s="4">
        <v>9</v>
      </c>
      <c r="E12" s="4"/>
    </row>
    <row r="13" spans="1:5" ht="15" customHeight="1" x14ac:dyDescent="0.25">
      <c r="A13" s="7" t="s">
        <v>115</v>
      </c>
      <c r="B13" s="7"/>
      <c r="C13" s="7"/>
      <c r="D13" s="6">
        <v>3.44E-2</v>
      </c>
      <c r="E13" s="6"/>
    </row>
    <row r="14" spans="1:5" ht="15" customHeight="1" x14ac:dyDescent="0.25">
      <c r="A14" s="5" t="s">
        <v>116</v>
      </c>
      <c r="B14" s="5"/>
      <c r="C14" s="5"/>
      <c r="D14" s="4">
        <v>-1734.3</v>
      </c>
      <c r="E14" s="4"/>
    </row>
    <row r="15" spans="1:5" ht="15" customHeight="1" x14ac:dyDescent="0.25">
      <c r="A15" s="7" t="s">
        <v>117</v>
      </c>
      <c r="B15" s="7"/>
      <c r="C15" s="7"/>
      <c r="D15" s="6">
        <v>-2060.2800000000002</v>
      </c>
      <c r="E15" s="6"/>
    </row>
    <row r="16" spans="1:5" ht="15" customHeight="1" x14ac:dyDescent="0.25">
      <c r="A16" s="5" t="s">
        <v>118</v>
      </c>
      <c r="B16" s="5"/>
      <c r="C16" s="5"/>
      <c r="D16" s="4" t="s">
        <v>119</v>
      </c>
      <c r="E16" s="4"/>
    </row>
    <row r="17" spans="1:5" ht="15" customHeight="1" x14ac:dyDescent="0.25">
      <c r="A17" s="7" t="s">
        <v>120</v>
      </c>
      <c r="B17" s="7"/>
      <c r="C17" s="7"/>
      <c r="D17" s="6" t="s">
        <v>121</v>
      </c>
      <c r="E17" s="6"/>
    </row>
    <row r="19" spans="1:5" ht="25.5" customHeight="1" x14ac:dyDescent="0.25">
      <c r="A19" s="14" t="s">
        <v>122</v>
      </c>
      <c r="B19" s="14" t="s">
        <v>123</v>
      </c>
      <c r="C19" s="14" t="s">
        <v>124</v>
      </c>
    </row>
    <row r="20" spans="1:5" ht="30" customHeight="1" x14ac:dyDescent="0.25">
      <c r="A20" s="15" t="s">
        <v>125</v>
      </c>
      <c r="B20" s="16" t="s">
        <v>126</v>
      </c>
      <c r="C20" s="15" t="s">
        <v>127</v>
      </c>
    </row>
    <row r="21" spans="1:5" ht="30" customHeight="1" x14ac:dyDescent="0.25">
      <c r="A21" s="18" t="s">
        <v>128</v>
      </c>
      <c r="B21" s="16" t="s">
        <v>129</v>
      </c>
      <c r="C21" s="18" t="s">
        <v>130</v>
      </c>
    </row>
  </sheetData>
  <mergeCells count="16">
    <mergeCell ref="A16:C16"/>
    <mergeCell ref="D16:E16"/>
    <mergeCell ref="A17:C17"/>
    <mergeCell ref="D17:E17"/>
    <mergeCell ref="A13:C13"/>
    <mergeCell ref="D13:E13"/>
    <mergeCell ref="A14:C14"/>
    <mergeCell ref="D14:E14"/>
    <mergeCell ref="A15:C15"/>
    <mergeCell ref="D15:E15"/>
    <mergeCell ref="A1:E1"/>
    <mergeCell ref="A2:E2"/>
    <mergeCell ref="A11:C11"/>
    <mergeCell ref="D11:E11"/>
    <mergeCell ref="A12:C12"/>
    <mergeCell ref="D12:E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showGridLines="0" zoomScaleNormal="100" workbookViewId="0"/>
  </sheetViews>
  <sheetFormatPr defaultColWidth="8.7109375" defaultRowHeight="15" x14ac:dyDescent="0.25"/>
  <cols>
    <col min="1" max="1" width="20" customWidth="1"/>
    <col min="2" max="2" width="32" customWidth="1"/>
    <col min="3" max="4" width="14" customWidth="1"/>
    <col min="5" max="5" width="20" customWidth="1"/>
    <col min="6" max="6" width="30" customWidth="1"/>
  </cols>
  <sheetData>
    <row r="1" spans="1:6" ht="21.75" customHeight="1" x14ac:dyDescent="0.25">
      <c r="A1" s="10" t="s">
        <v>131</v>
      </c>
      <c r="B1" s="10"/>
      <c r="C1" s="10"/>
      <c r="D1" s="10"/>
      <c r="E1" s="10"/>
      <c r="F1" s="10"/>
    </row>
    <row r="2" spans="1:6" ht="27.75" customHeight="1" x14ac:dyDescent="0.25">
      <c r="A2" s="9" t="s">
        <v>132</v>
      </c>
      <c r="B2" s="9"/>
      <c r="C2" s="9"/>
      <c r="D2" s="9"/>
      <c r="E2" s="9"/>
      <c r="F2" s="9"/>
    </row>
    <row r="4" spans="1:6" ht="25.5" customHeight="1" x14ac:dyDescent="0.25">
      <c r="A4" s="14" t="s">
        <v>133</v>
      </c>
      <c r="B4" s="14" t="s">
        <v>134</v>
      </c>
      <c r="C4" s="14" t="s">
        <v>135</v>
      </c>
      <c r="D4" s="14" t="s">
        <v>136</v>
      </c>
      <c r="E4" s="14" t="s">
        <v>137</v>
      </c>
      <c r="F4" s="14" t="s">
        <v>138</v>
      </c>
    </row>
    <row r="5" spans="1:6" ht="33.75" customHeight="1" x14ac:dyDescent="0.25">
      <c r="A5" s="15" t="s">
        <v>139</v>
      </c>
      <c r="B5" s="16" t="s">
        <v>140</v>
      </c>
      <c r="C5" s="15">
        <v>6894.14</v>
      </c>
      <c r="D5" s="15">
        <v>131.24</v>
      </c>
      <c r="E5" s="15" t="s">
        <v>141</v>
      </c>
      <c r="F5" s="15" t="s">
        <v>142</v>
      </c>
    </row>
    <row r="6" spans="1:6" ht="33.75" customHeight="1" x14ac:dyDescent="0.25">
      <c r="A6" s="18" t="s">
        <v>143</v>
      </c>
      <c r="B6" s="16" t="s">
        <v>144</v>
      </c>
      <c r="C6" s="18">
        <v>6272.49</v>
      </c>
      <c r="D6" s="18">
        <v>37.28</v>
      </c>
      <c r="E6" s="18">
        <v>2.4E-2</v>
      </c>
      <c r="F6" s="18" t="s">
        <v>145</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showGridLines="0" zoomScaleNormal="100" workbookViewId="0"/>
  </sheetViews>
  <sheetFormatPr defaultColWidth="8.7109375" defaultRowHeight="15" x14ac:dyDescent="0.25"/>
  <cols>
    <col min="1" max="1" width="8" customWidth="1"/>
    <col min="2" max="2" width="34" customWidth="1"/>
    <col min="3" max="4" width="13" customWidth="1"/>
    <col min="5" max="5" width="10" customWidth="1"/>
    <col min="6" max="6" width="24" customWidth="1"/>
  </cols>
  <sheetData>
    <row r="1" spans="1:6" ht="21.75" customHeight="1" x14ac:dyDescent="0.25">
      <c r="A1" s="10" t="s">
        <v>146</v>
      </c>
      <c r="B1" s="10"/>
      <c r="C1" s="10"/>
      <c r="D1" s="10"/>
      <c r="E1" s="10"/>
      <c r="F1" s="10"/>
    </row>
    <row r="2" spans="1:6" ht="27.75" customHeight="1" x14ac:dyDescent="0.25">
      <c r="A2" s="9" t="s">
        <v>147</v>
      </c>
      <c r="B2" s="9"/>
      <c r="C2" s="9"/>
      <c r="D2" s="9"/>
      <c r="E2" s="9"/>
      <c r="F2" s="9"/>
    </row>
    <row r="4" spans="1:6" ht="25.5" customHeight="1" x14ac:dyDescent="0.25">
      <c r="A4" s="14" t="s">
        <v>148</v>
      </c>
      <c r="B4" s="14" t="s">
        <v>134</v>
      </c>
      <c r="C4" s="14" t="s">
        <v>135</v>
      </c>
      <c r="D4" s="14" t="s">
        <v>136</v>
      </c>
      <c r="E4" s="14" t="s">
        <v>149</v>
      </c>
      <c r="F4" s="14" t="s">
        <v>150</v>
      </c>
    </row>
    <row r="5" spans="1:6" ht="15" customHeight="1" x14ac:dyDescent="0.25">
      <c r="A5" s="15">
        <v>1</v>
      </c>
      <c r="B5" s="16" t="s">
        <v>151</v>
      </c>
      <c r="C5" s="15">
        <v>2.649</v>
      </c>
      <c r="D5" s="15">
        <v>6.0999999999999999E-2</v>
      </c>
      <c r="E5" s="15">
        <v>2.71</v>
      </c>
      <c r="F5" s="17" t="s">
        <v>30</v>
      </c>
    </row>
    <row r="6" spans="1:6" ht="15" customHeight="1" x14ac:dyDescent="0.25">
      <c r="A6" s="18">
        <v>1.5</v>
      </c>
      <c r="B6" s="16" t="s">
        <v>152</v>
      </c>
      <c r="C6" s="18">
        <v>2.427</v>
      </c>
      <c r="D6" s="18">
        <v>0.216</v>
      </c>
      <c r="E6" s="18">
        <v>2.7509999999999999</v>
      </c>
      <c r="F6" s="19" t="s">
        <v>73</v>
      </c>
    </row>
    <row r="7" spans="1:6" ht="15" customHeight="1" x14ac:dyDescent="0.25">
      <c r="A7" s="15">
        <v>1.8</v>
      </c>
      <c r="B7" s="16" t="s">
        <v>153</v>
      </c>
      <c r="C7" s="15">
        <v>2.427</v>
      </c>
      <c r="D7" s="15">
        <v>0.216</v>
      </c>
      <c r="E7" s="15">
        <v>2.8159999999999998</v>
      </c>
      <c r="F7" s="19" t="s">
        <v>73</v>
      </c>
    </row>
    <row r="8" spans="1:6" ht="15" customHeight="1" x14ac:dyDescent="0.25">
      <c r="A8" s="18">
        <v>2</v>
      </c>
      <c r="B8" s="16" t="s">
        <v>152</v>
      </c>
      <c r="C8" s="18">
        <v>2.427</v>
      </c>
      <c r="D8" s="18">
        <v>0.216</v>
      </c>
      <c r="E8" s="18">
        <v>2.859</v>
      </c>
      <c r="F8" s="19" t="s">
        <v>73</v>
      </c>
    </row>
    <row r="10" spans="1:6" ht="25.5" customHeight="1" x14ac:dyDescent="0.25">
      <c r="A10" s="3" t="s">
        <v>154</v>
      </c>
      <c r="B10" s="3"/>
      <c r="C10" s="3"/>
      <c r="D10" s="3"/>
      <c r="E10" s="3"/>
      <c r="F10" s="3"/>
    </row>
  </sheetData>
  <mergeCells count="3">
    <mergeCell ref="A1:F1"/>
    <mergeCell ref="A2:F2"/>
    <mergeCell ref="A10:F1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showGridLines="0" zoomScaleNormal="100" workbookViewId="0"/>
  </sheetViews>
  <sheetFormatPr defaultColWidth="8.7109375" defaultRowHeight="15" x14ac:dyDescent="0.25"/>
  <cols>
    <col min="1" max="1" width="4" customWidth="1"/>
    <col min="2" max="2" width="24" customWidth="1"/>
    <col min="3" max="3" width="46" customWidth="1"/>
    <col min="4" max="4" width="30" customWidth="1"/>
    <col min="5" max="5" width="34" customWidth="1"/>
  </cols>
  <sheetData>
    <row r="1" spans="1:5" ht="21.75" customHeight="1" x14ac:dyDescent="0.25">
      <c r="A1" s="10" t="s">
        <v>155</v>
      </c>
      <c r="B1" s="10"/>
      <c r="C1" s="10"/>
      <c r="D1" s="10"/>
      <c r="E1" s="10"/>
    </row>
    <row r="2" spans="1:5" ht="30" customHeight="1" x14ac:dyDescent="0.25">
      <c r="A2" s="9" t="s">
        <v>156</v>
      </c>
      <c r="B2" s="9"/>
      <c r="C2" s="9"/>
      <c r="D2" s="9"/>
      <c r="E2" s="9"/>
    </row>
    <row r="4" spans="1:5" ht="25.5" customHeight="1" x14ac:dyDescent="0.25">
      <c r="A4" s="14" t="s">
        <v>157</v>
      </c>
      <c r="B4" s="14" t="s">
        <v>158</v>
      </c>
      <c r="C4" s="14" t="s">
        <v>159</v>
      </c>
      <c r="D4" s="14" t="s">
        <v>160</v>
      </c>
      <c r="E4" s="14" t="s">
        <v>161</v>
      </c>
    </row>
    <row r="5" spans="1:5" ht="57.75" customHeight="1" x14ac:dyDescent="0.25">
      <c r="A5" s="23">
        <v>1</v>
      </c>
      <c r="B5" s="23" t="s">
        <v>162</v>
      </c>
      <c r="C5" s="23" t="s">
        <v>163</v>
      </c>
      <c r="D5" s="23" t="s">
        <v>164</v>
      </c>
      <c r="E5" s="23" t="s">
        <v>165</v>
      </c>
    </row>
    <row r="6" spans="1:5" ht="57.75" customHeight="1" x14ac:dyDescent="0.25">
      <c r="A6" s="24">
        <v>2</v>
      </c>
      <c r="B6" s="24" t="s">
        <v>166</v>
      </c>
      <c r="C6" s="24" t="s">
        <v>167</v>
      </c>
      <c r="D6" s="24" t="s">
        <v>168</v>
      </c>
      <c r="E6" s="24" t="s">
        <v>169</v>
      </c>
    </row>
    <row r="7" spans="1:5" ht="57.75" customHeight="1" x14ac:dyDescent="0.25">
      <c r="A7" s="23">
        <v>3</v>
      </c>
      <c r="B7" s="23" t="s">
        <v>170</v>
      </c>
      <c r="C7" s="23" t="s">
        <v>171</v>
      </c>
      <c r="D7" s="23" t="s">
        <v>172</v>
      </c>
      <c r="E7" s="23" t="s">
        <v>173</v>
      </c>
    </row>
    <row r="8" spans="1:5" ht="57.75" customHeight="1" x14ac:dyDescent="0.25">
      <c r="A8" s="24">
        <v>4</v>
      </c>
      <c r="B8" s="24" t="s">
        <v>174</v>
      </c>
      <c r="C8" s="24" t="s">
        <v>175</v>
      </c>
      <c r="D8" s="24" t="s">
        <v>176</v>
      </c>
      <c r="E8" s="24" t="s">
        <v>177</v>
      </c>
    </row>
    <row r="9" spans="1:5" ht="57.75" customHeight="1" x14ac:dyDescent="0.25">
      <c r="A9" s="23">
        <v>5</v>
      </c>
      <c r="B9" s="23" t="s">
        <v>178</v>
      </c>
      <c r="C9" s="23" t="s">
        <v>179</v>
      </c>
      <c r="D9" s="23" t="s">
        <v>180</v>
      </c>
      <c r="E9" s="23" t="s">
        <v>181</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showGridLines="0" zoomScaleNormal="100" workbookViewId="0"/>
  </sheetViews>
  <sheetFormatPr defaultColWidth="8.7109375" defaultRowHeight="15" x14ac:dyDescent="0.25"/>
  <cols>
    <col min="1" max="1" width="6" customWidth="1"/>
    <col min="2" max="2" width="22" customWidth="1"/>
    <col min="3" max="8" width="10" customWidth="1"/>
  </cols>
  <sheetData>
    <row r="1" spans="1:8" ht="21.75" customHeight="1" x14ac:dyDescent="0.25">
      <c r="A1" s="10" t="s">
        <v>182</v>
      </c>
      <c r="B1" s="10"/>
      <c r="C1" s="10"/>
      <c r="D1" s="10"/>
      <c r="E1" s="10"/>
      <c r="F1" s="10"/>
      <c r="G1" s="10"/>
      <c r="H1" s="10"/>
    </row>
    <row r="2" spans="1:8" ht="30" customHeight="1" x14ac:dyDescent="0.25">
      <c r="A2" s="9" t="s">
        <v>183</v>
      </c>
      <c r="B2" s="9"/>
      <c r="C2" s="9"/>
      <c r="D2" s="9"/>
      <c r="E2" s="9"/>
      <c r="F2" s="9"/>
      <c r="G2" s="9"/>
      <c r="H2" s="9"/>
    </row>
    <row r="4" spans="1:8" ht="25.5" customHeight="1" x14ac:dyDescent="0.25">
      <c r="A4" s="14" t="s">
        <v>18</v>
      </c>
      <c r="B4" s="14" t="s">
        <v>159</v>
      </c>
      <c r="C4" s="14" t="s">
        <v>184</v>
      </c>
      <c r="D4" s="14" t="s">
        <v>185</v>
      </c>
      <c r="E4" s="14" t="s">
        <v>186</v>
      </c>
      <c r="F4" s="14" t="s">
        <v>187</v>
      </c>
      <c r="G4" s="14" t="s">
        <v>188</v>
      </c>
      <c r="H4" s="14" t="s">
        <v>189</v>
      </c>
    </row>
    <row r="5" spans="1:8" ht="15" customHeight="1" x14ac:dyDescent="0.25">
      <c r="A5" s="23" t="s">
        <v>26</v>
      </c>
      <c r="B5" s="23" t="s">
        <v>190</v>
      </c>
      <c r="C5" s="23">
        <v>1</v>
      </c>
      <c r="D5" s="23">
        <v>1</v>
      </c>
      <c r="E5" s="23">
        <v>1</v>
      </c>
      <c r="F5" s="23">
        <v>1</v>
      </c>
      <c r="G5" s="23">
        <v>1</v>
      </c>
      <c r="H5" s="23">
        <v>1</v>
      </c>
    </row>
    <row r="6" spans="1:8" ht="15" customHeight="1" x14ac:dyDescent="0.25">
      <c r="A6" s="24" t="s">
        <v>33</v>
      </c>
      <c r="B6" s="24" t="s">
        <v>191</v>
      </c>
      <c r="C6" s="24">
        <v>1</v>
      </c>
      <c r="D6" s="24">
        <v>0.25600000000000001</v>
      </c>
      <c r="E6" s="24">
        <v>0.19800000000000001</v>
      </c>
      <c r="F6" s="24">
        <v>0.32300000000000001</v>
      </c>
      <c r="G6" s="24">
        <v>0.97799999999999998</v>
      </c>
      <c r="H6" s="24">
        <v>0.24399999999999999</v>
      </c>
    </row>
    <row r="7" spans="1:8" ht="15" customHeight="1" x14ac:dyDescent="0.25">
      <c r="A7" s="23" t="s">
        <v>39</v>
      </c>
      <c r="B7" s="23" t="s">
        <v>192</v>
      </c>
      <c r="C7" s="23">
        <v>0.96499999999999997</v>
      </c>
      <c r="D7" s="23">
        <v>0.94199999999999995</v>
      </c>
      <c r="E7" s="23">
        <v>1</v>
      </c>
      <c r="F7" s="23">
        <v>0.93600000000000005</v>
      </c>
      <c r="G7" s="23">
        <v>0.97</v>
      </c>
      <c r="H7" s="23">
        <v>0.98199999999999998</v>
      </c>
    </row>
    <row r="8" spans="1:8" ht="15" customHeight="1" x14ac:dyDescent="0.25">
      <c r="A8" s="24" t="s">
        <v>45</v>
      </c>
      <c r="B8" s="24" t="s">
        <v>193</v>
      </c>
      <c r="C8" s="24">
        <v>0.86599999999999999</v>
      </c>
      <c r="D8" s="24">
        <v>0.98799999999999999</v>
      </c>
      <c r="E8" s="24">
        <v>1</v>
      </c>
      <c r="F8" s="24">
        <v>0.95899999999999996</v>
      </c>
      <c r="G8" s="24">
        <v>0.998</v>
      </c>
      <c r="H8" s="24">
        <v>0.97499999999999998</v>
      </c>
    </row>
    <row r="9" spans="1:8" ht="15" customHeight="1" x14ac:dyDescent="0.25">
      <c r="A9" s="23" t="s">
        <v>51</v>
      </c>
      <c r="B9" s="23" t="s">
        <v>194</v>
      </c>
      <c r="C9" s="23">
        <v>0.17599999999999999</v>
      </c>
      <c r="D9" s="23">
        <v>0.33100000000000002</v>
      </c>
      <c r="E9" s="23">
        <v>0.42399999999999999</v>
      </c>
      <c r="F9" s="23">
        <v>0.66900000000000004</v>
      </c>
      <c r="G9" s="23">
        <v>1</v>
      </c>
      <c r="H9" s="23">
        <v>0.96499999999999997</v>
      </c>
    </row>
    <row r="10" spans="1:8" ht="15" customHeight="1" x14ac:dyDescent="0.25">
      <c r="A10" s="24" t="s">
        <v>57</v>
      </c>
      <c r="B10" s="24" t="s">
        <v>195</v>
      </c>
      <c r="C10" s="24">
        <v>0.91700000000000004</v>
      </c>
      <c r="D10" s="24">
        <v>0.95899999999999996</v>
      </c>
      <c r="E10" s="24">
        <v>1</v>
      </c>
      <c r="F10" s="24">
        <v>0.88900000000000001</v>
      </c>
      <c r="G10" s="24">
        <v>0.81799999999999995</v>
      </c>
      <c r="H10" s="24">
        <v>0.95599999999999996</v>
      </c>
    </row>
    <row r="11" spans="1:8" ht="15" customHeight="1" x14ac:dyDescent="0.25">
      <c r="A11" s="23" t="s">
        <v>63</v>
      </c>
      <c r="B11" s="23" t="s">
        <v>196</v>
      </c>
      <c r="C11" s="23">
        <v>0.5</v>
      </c>
      <c r="D11" s="23">
        <v>0.76600000000000001</v>
      </c>
      <c r="E11" s="23">
        <v>1</v>
      </c>
      <c r="F11" s="23">
        <v>0.95599999999999996</v>
      </c>
      <c r="G11" s="23">
        <v>0.871</v>
      </c>
      <c r="H11" s="23">
        <v>0.96899999999999997</v>
      </c>
    </row>
    <row r="12" spans="1:8" ht="15" customHeight="1" x14ac:dyDescent="0.25">
      <c r="A12" s="24" t="s">
        <v>69</v>
      </c>
      <c r="B12" s="24" t="s">
        <v>197</v>
      </c>
      <c r="C12" s="24">
        <v>0.92</v>
      </c>
      <c r="D12" s="24">
        <v>0.95499999999999996</v>
      </c>
      <c r="E12" s="24">
        <v>0.93200000000000005</v>
      </c>
      <c r="F12" s="24">
        <v>0.97699999999999998</v>
      </c>
      <c r="G12" s="24">
        <v>0.99199999999999999</v>
      </c>
      <c r="H12" s="24">
        <v>1</v>
      </c>
    </row>
    <row r="14" spans="1:8" ht="69.75" customHeight="1" x14ac:dyDescent="0.25">
      <c r="A14" s="2" t="s">
        <v>198</v>
      </c>
      <c r="B14" s="2"/>
      <c r="C14" s="2"/>
      <c r="D14" s="2"/>
      <c r="E14" s="2"/>
      <c r="F14" s="2"/>
      <c r="G14" s="2"/>
      <c r="H14" s="2"/>
    </row>
  </sheetData>
  <mergeCells count="3">
    <mergeCell ref="A1:H1"/>
    <mergeCell ref="A2:H2"/>
    <mergeCell ref="A14:H14"/>
  </mergeCells>
  <conditionalFormatting sqref="C5:H12">
    <cfRule type="colorScale" priority="2">
      <colorScale>
        <cfvo type="min"/>
        <cfvo type="percentile" val="50"/>
        <cfvo type="max"/>
        <color rgb="FFC62828"/>
        <color rgb="FFFFFFFF"/>
        <color rgb="FF2E7D32"/>
      </colorScale>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showGridLines="0" zoomScaleNormal="100" workbookViewId="0"/>
  </sheetViews>
  <sheetFormatPr defaultColWidth="8.7109375" defaultRowHeight="15" x14ac:dyDescent="0.25"/>
  <cols>
    <col min="1" max="1" width="6" customWidth="1"/>
    <col min="2" max="3" width="10" customWidth="1"/>
    <col min="4" max="5" width="12" customWidth="1"/>
    <col min="6" max="6" width="10" customWidth="1"/>
    <col min="7" max="7" width="14" customWidth="1"/>
  </cols>
  <sheetData>
    <row r="1" spans="1:7" ht="21.75" customHeight="1" x14ac:dyDescent="0.25">
      <c r="A1" s="10" t="s">
        <v>199</v>
      </c>
      <c r="B1" s="10"/>
      <c r="C1" s="10"/>
      <c r="D1" s="10"/>
      <c r="E1" s="10"/>
      <c r="F1" s="10"/>
    </row>
    <row r="2" spans="1:7" ht="30" customHeight="1" x14ac:dyDescent="0.25">
      <c r="A2" s="9" t="s">
        <v>200</v>
      </c>
      <c r="B2" s="9"/>
      <c r="C2" s="9"/>
      <c r="D2" s="9"/>
      <c r="E2" s="9"/>
      <c r="F2" s="9"/>
    </row>
    <row r="4" spans="1:7" ht="25.5" customHeight="1" x14ac:dyDescent="0.25">
      <c r="A4" s="14" t="s">
        <v>18</v>
      </c>
      <c r="B4" s="14" t="s">
        <v>185</v>
      </c>
      <c r="C4" s="14" t="s">
        <v>186</v>
      </c>
      <c r="D4" s="14" t="s">
        <v>187</v>
      </c>
      <c r="E4" s="14" t="s">
        <v>188</v>
      </c>
      <c r="F4" s="14" t="s">
        <v>189</v>
      </c>
      <c r="G4" s="14" t="s">
        <v>201</v>
      </c>
    </row>
    <row r="5" spans="1:7" ht="15" customHeight="1" x14ac:dyDescent="0.25">
      <c r="A5" s="23" t="s">
        <v>26</v>
      </c>
      <c r="B5" s="23">
        <v>2</v>
      </c>
      <c r="C5" s="23">
        <v>2</v>
      </c>
      <c r="D5" s="25" t="s">
        <v>202</v>
      </c>
      <c r="E5" s="25" t="s">
        <v>202</v>
      </c>
      <c r="F5" s="23">
        <v>2.2999999999999998</v>
      </c>
      <c r="G5" s="25" t="s">
        <v>202</v>
      </c>
    </row>
    <row r="6" spans="1:7" ht="15" customHeight="1" x14ac:dyDescent="0.25">
      <c r="A6" s="24" t="s">
        <v>33</v>
      </c>
      <c r="B6" s="24">
        <v>2</v>
      </c>
      <c r="C6" s="24">
        <v>2</v>
      </c>
      <c r="D6" s="25" t="s">
        <v>202</v>
      </c>
      <c r="E6" s="25" t="s">
        <v>202</v>
      </c>
      <c r="F6" s="24">
        <v>1.7</v>
      </c>
      <c r="G6" s="24">
        <v>1.8</v>
      </c>
    </row>
    <row r="7" spans="1:7" ht="15" customHeight="1" x14ac:dyDescent="0.25">
      <c r="A7" s="23" t="s">
        <v>39</v>
      </c>
      <c r="B7" s="23">
        <v>2</v>
      </c>
      <c r="C7" s="23">
        <v>1.8</v>
      </c>
      <c r="D7" s="25" t="s">
        <v>202</v>
      </c>
      <c r="E7" s="25" t="s">
        <v>202</v>
      </c>
      <c r="F7" s="23">
        <v>1.3</v>
      </c>
      <c r="G7" s="23">
        <v>1.8</v>
      </c>
    </row>
    <row r="8" spans="1:7" ht="15" customHeight="1" x14ac:dyDescent="0.25">
      <c r="A8" s="24" t="s">
        <v>45</v>
      </c>
      <c r="B8" s="24">
        <v>2</v>
      </c>
      <c r="C8" s="24">
        <v>1</v>
      </c>
      <c r="D8" s="25" t="s">
        <v>202</v>
      </c>
      <c r="E8" s="25" t="s">
        <v>202</v>
      </c>
      <c r="F8" s="24">
        <v>1.2</v>
      </c>
      <c r="G8" s="24">
        <v>1.2</v>
      </c>
    </row>
    <row r="9" spans="1:7" ht="15" customHeight="1" x14ac:dyDescent="0.25">
      <c r="A9" s="23" t="s">
        <v>51</v>
      </c>
      <c r="B9" s="23">
        <v>2</v>
      </c>
      <c r="C9" s="23">
        <v>1</v>
      </c>
      <c r="D9" s="25" t="s">
        <v>202</v>
      </c>
      <c r="E9" s="25" t="s">
        <v>202</v>
      </c>
      <c r="F9" s="23">
        <v>0.8</v>
      </c>
      <c r="G9" s="23">
        <v>1</v>
      </c>
    </row>
    <row r="10" spans="1:7" ht="15" customHeight="1" x14ac:dyDescent="0.25">
      <c r="A10" s="24" t="s">
        <v>57</v>
      </c>
      <c r="B10" s="24">
        <v>2</v>
      </c>
      <c r="C10" s="24">
        <v>1.5</v>
      </c>
      <c r="D10" s="25" t="s">
        <v>202</v>
      </c>
      <c r="E10" s="25" t="s">
        <v>202</v>
      </c>
      <c r="F10" s="24">
        <v>1.5</v>
      </c>
      <c r="G10" s="24">
        <v>1.3</v>
      </c>
    </row>
    <row r="11" spans="1:7" ht="15" customHeight="1" x14ac:dyDescent="0.25">
      <c r="A11" s="23" t="s">
        <v>63</v>
      </c>
      <c r="B11" s="23">
        <v>2</v>
      </c>
      <c r="C11" s="23">
        <v>1.2</v>
      </c>
      <c r="D11" s="25" t="s">
        <v>202</v>
      </c>
      <c r="E11" s="25" t="s">
        <v>202</v>
      </c>
      <c r="F11" s="23">
        <v>1.3</v>
      </c>
      <c r="G11" s="23">
        <v>1.8</v>
      </c>
    </row>
    <row r="12" spans="1:7" ht="15" customHeight="1" x14ac:dyDescent="0.25">
      <c r="A12" s="24" t="s">
        <v>69</v>
      </c>
      <c r="B12" s="24">
        <v>2</v>
      </c>
      <c r="C12" s="24">
        <v>1.5</v>
      </c>
      <c r="D12" s="25" t="s">
        <v>202</v>
      </c>
      <c r="E12" s="25" t="s">
        <v>202</v>
      </c>
      <c r="F12" s="24">
        <v>1.4</v>
      </c>
      <c r="G12" s="24">
        <v>0.8</v>
      </c>
    </row>
  </sheetData>
  <mergeCells count="2">
    <mergeCell ref="A1:F1"/>
    <mergeCell ref="A2:F2"/>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
  <sheetViews>
    <sheetView showGridLines="0" zoomScaleNormal="100" workbookViewId="0"/>
  </sheetViews>
  <sheetFormatPr defaultColWidth="8.7109375" defaultRowHeight="15" x14ac:dyDescent="0.25"/>
  <cols>
    <col min="1" max="1" width="6" customWidth="1"/>
    <col min="2" max="2" width="30" customWidth="1"/>
    <col min="3" max="3" width="26" customWidth="1"/>
    <col min="4" max="4" width="24" customWidth="1"/>
    <col min="5" max="5" width="40" customWidth="1"/>
    <col min="6" max="6" width="34" customWidth="1"/>
  </cols>
  <sheetData>
    <row r="1" spans="1:6" ht="21.75" customHeight="1" x14ac:dyDescent="0.25">
      <c r="A1" s="10" t="s">
        <v>203</v>
      </c>
      <c r="B1" s="10"/>
      <c r="C1" s="10"/>
      <c r="D1" s="10"/>
      <c r="E1" s="10"/>
      <c r="F1" s="10"/>
    </row>
    <row r="2" spans="1:6" ht="30" customHeight="1" x14ac:dyDescent="0.25">
      <c r="A2" s="9" t="s">
        <v>204</v>
      </c>
      <c r="B2" s="9"/>
      <c r="C2" s="9"/>
      <c r="D2" s="9"/>
      <c r="E2" s="9"/>
      <c r="F2" s="9"/>
    </row>
    <row r="4" spans="1:6" ht="25.5" customHeight="1" x14ac:dyDescent="0.25">
      <c r="A4" s="14" t="s">
        <v>18</v>
      </c>
      <c r="B4" s="14" t="s">
        <v>205</v>
      </c>
      <c r="C4" s="14" t="s">
        <v>206</v>
      </c>
      <c r="D4" s="14" t="s">
        <v>207</v>
      </c>
      <c r="E4" s="14" t="s">
        <v>208</v>
      </c>
      <c r="F4" s="14" t="s">
        <v>209</v>
      </c>
    </row>
    <row r="5" spans="1:6" ht="60" customHeight="1" x14ac:dyDescent="0.25">
      <c r="A5" s="23" t="s">
        <v>26</v>
      </c>
      <c r="B5" s="23" t="s">
        <v>210</v>
      </c>
      <c r="C5" s="23" t="s">
        <v>211</v>
      </c>
      <c r="D5" s="23" t="s">
        <v>211</v>
      </c>
      <c r="E5" s="23" t="s">
        <v>212</v>
      </c>
      <c r="F5" s="23" t="s">
        <v>213</v>
      </c>
    </row>
    <row r="6" spans="1:6" ht="60" customHeight="1" x14ac:dyDescent="0.25">
      <c r="A6" s="24" t="s">
        <v>33</v>
      </c>
      <c r="B6" s="24" t="s">
        <v>214</v>
      </c>
      <c r="C6" s="24" t="s">
        <v>211</v>
      </c>
      <c r="D6" s="24" t="s">
        <v>215</v>
      </c>
      <c r="E6" s="24" t="s">
        <v>216</v>
      </c>
      <c r="F6" s="24" t="s">
        <v>217</v>
      </c>
    </row>
    <row r="7" spans="1:6" ht="60" customHeight="1" x14ac:dyDescent="0.25">
      <c r="A7" s="23" t="s">
        <v>39</v>
      </c>
      <c r="B7" s="23" t="s">
        <v>218</v>
      </c>
      <c r="C7" s="23" t="s">
        <v>219</v>
      </c>
      <c r="D7" s="23" t="s">
        <v>211</v>
      </c>
      <c r="E7" s="23" t="s">
        <v>220</v>
      </c>
      <c r="F7" s="23" t="s">
        <v>221</v>
      </c>
    </row>
    <row r="8" spans="1:6" ht="60" customHeight="1" x14ac:dyDescent="0.25">
      <c r="A8" s="24" t="s">
        <v>45</v>
      </c>
      <c r="B8" s="24" t="s">
        <v>222</v>
      </c>
      <c r="C8" s="24" t="s">
        <v>210</v>
      </c>
      <c r="D8" s="24" t="s">
        <v>211</v>
      </c>
      <c r="E8" s="24" t="s">
        <v>223</v>
      </c>
      <c r="F8" s="24" t="s">
        <v>224</v>
      </c>
    </row>
    <row r="9" spans="1:6" ht="60" customHeight="1" x14ac:dyDescent="0.25">
      <c r="A9" s="23" t="s">
        <v>51</v>
      </c>
      <c r="B9" s="23" t="s">
        <v>225</v>
      </c>
      <c r="C9" s="23" t="s">
        <v>226</v>
      </c>
      <c r="D9" s="23" t="s">
        <v>211</v>
      </c>
      <c r="E9" s="23" t="s">
        <v>227</v>
      </c>
      <c r="F9" s="23" t="s">
        <v>228</v>
      </c>
    </row>
    <row r="10" spans="1:6" ht="60" customHeight="1" x14ac:dyDescent="0.25">
      <c r="A10" s="24" t="s">
        <v>57</v>
      </c>
      <c r="B10" s="24" t="s">
        <v>229</v>
      </c>
      <c r="C10" s="24" t="s">
        <v>210</v>
      </c>
      <c r="D10" s="24" t="s">
        <v>211</v>
      </c>
      <c r="E10" s="24" t="s">
        <v>230</v>
      </c>
      <c r="F10" s="24" t="s">
        <v>231</v>
      </c>
    </row>
    <row r="11" spans="1:6" ht="60" customHeight="1" x14ac:dyDescent="0.25">
      <c r="A11" s="23" t="s">
        <v>63</v>
      </c>
      <c r="B11" s="23" t="s">
        <v>232</v>
      </c>
      <c r="C11" s="23" t="s">
        <v>233</v>
      </c>
      <c r="D11" s="23" t="s">
        <v>234</v>
      </c>
      <c r="E11" s="23" t="s">
        <v>235</v>
      </c>
      <c r="F11" s="23" t="s">
        <v>236</v>
      </c>
    </row>
    <row r="12" spans="1:6" ht="60" customHeight="1" x14ac:dyDescent="0.25">
      <c r="A12" s="24" t="s">
        <v>69</v>
      </c>
      <c r="B12" s="24" t="s">
        <v>237</v>
      </c>
      <c r="C12" s="24" t="s">
        <v>238</v>
      </c>
      <c r="D12" s="24" t="s">
        <v>211</v>
      </c>
      <c r="E12" s="24" t="s">
        <v>239</v>
      </c>
      <c r="F12" s="24" t="s">
        <v>224</v>
      </c>
    </row>
    <row r="14" spans="1:6" ht="55.5" customHeight="1" x14ac:dyDescent="0.25">
      <c r="A14" s="1" t="s">
        <v>240</v>
      </c>
      <c r="B14" s="1"/>
      <c r="C14" s="1"/>
      <c r="D14" s="1"/>
      <c r="E14" s="1"/>
      <c r="F14" s="1"/>
    </row>
  </sheetData>
  <mergeCells count="3">
    <mergeCell ref="A1:F1"/>
    <mergeCell ref="A2:F2"/>
    <mergeCell ref="A14:F1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
  <sheetViews>
    <sheetView showGridLines="0" zoomScaleNormal="100" workbookViewId="0"/>
  </sheetViews>
  <sheetFormatPr defaultColWidth="8.7109375" defaultRowHeight="15" x14ac:dyDescent="0.25"/>
  <cols>
    <col min="1" max="1" width="6" customWidth="1"/>
    <col min="2" max="3" width="13" customWidth="1"/>
    <col min="4" max="4" width="7" customWidth="1"/>
    <col min="5" max="5" width="36" customWidth="1"/>
    <col min="6" max="6" width="11" customWidth="1"/>
    <col min="7" max="7" width="10" customWidth="1"/>
    <col min="8" max="8" width="9" customWidth="1"/>
    <col min="9" max="9" width="12" customWidth="1"/>
    <col min="10" max="10" width="30" customWidth="1"/>
  </cols>
  <sheetData>
    <row r="1" spans="1:10" ht="21.75" customHeight="1" x14ac:dyDescent="0.25">
      <c r="A1" s="10" t="s">
        <v>241</v>
      </c>
      <c r="B1" s="10"/>
      <c r="C1" s="10"/>
      <c r="D1" s="10"/>
      <c r="E1" s="10"/>
      <c r="F1" s="10"/>
      <c r="G1" s="10"/>
      <c r="H1" s="10"/>
      <c r="I1" s="10"/>
      <c r="J1" s="10"/>
    </row>
    <row r="2" spans="1:10" ht="30" customHeight="1" x14ac:dyDescent="0.25">
      <c r="A2" s="9" t="s">
        <v>242</v>
      </c>
      <c r="B2" s="9"/>
      <c r="C2" s="9"/>
      <c r="D2" s="9"/>
      <c r="E2" s="9"/>
      <c r="F2" s="9"/>
      <c r="G2" s="9"/>
      <c r="H2" s="9"/>
      <c r="I2" s="9"/>
      <c r="J2" s="9"/>
    </row>
    <row r="4" spans="1:10" ht="25.5" customHeight="1" x14ac:dyDescent="0.25">
      <c r="A4" s="14" t="s">
        <v>18</v>
      </c>
      <c r="B4" s="14" t="s">
        <v>243</v>
      </c>
      <c r="C4" s="14" t="s">
        <v>244</v>
      </c>
      <c r="D4" s="14" t="s">
        <v>148</v>
      </c>
      <c r="E4" s="14" t="s">
        <v>134</v>
      </c>
      <c r="F4" s="14" t="s">
        <v>245</v>
      </c>
      <c r="G4" s="14" t="s">
        <v>246</v>
      </c>
      <c r="H4" s="14" t="s">
        <v>149</v>
      </c>
      <c r="I4" s="14" t="s">
        <v>247</v>
      </c>
      <c r="J4" s="14" t="s">
        <v>248</v>
      </c>
    </row>
    <row r="5" spans="1:10" ht="33.75" customHeight="1" x14ac:dyDescent="0.25">
      <c r="A5" s="23" t="s">
        <v>26</v>
      </c>
      <c r="B5" s="23" t="s">
        <v>249</v>
      </c>
      <c r="C5" s="23" t="s">
        <v>250</v>
      </c>
      <c r="D5" s="23" t="s">
        <v>250</v>
      </c>
      <c r="E5" s="26" t="s">
        <v>126</v>
      </c>
      <c r="F5" s="23" t="s">
        <v>250</v>
      </c>
      <c r="G5" s="23" t="s">
        <v>250</v>
      </c>
      <c r="H5" s="23" t="s">
        <v>250</v>
      </c>
      <c r="I5" s="23" t="s">
        <v>251</v>
      </c>
      <c r="J5" s="27" t="s">
        <v>252</v>
      </c>
    </row>
    <row r="6" spans="1:10" ht="33.75" customHeight="1" x14ac:dyDescent="0.25">
      <c r="A6" s="24" t="s">
        <v>33</v>
      </c>
      <c r="B6" s="24" t="s">
        <v>253</v>
      </c>
      <c r="C6" s="24" t="s">
        <v>99</v>
      </c>
      <c r="D6" s="24">
        <v>1.8</v>
      </c>
      <c r="E6" s="26" t="s">
        <v>254</v>
      </c>
      <c r="F6" s="24">
        <v>0.53549999999999998</v>
      </c>
      <c r="G6" s="24">
        <v>7.9899999999999999E-2</v>
      </c>
      <c r="H6" s="24">
        <v>0.67930000000000001</v>
      </c>
      <c r="I6" s="24">
        <v>0.611205</v>
      </c>
      <c r="J6" s="27" t="s">
        <v>255</v>
      </c>
    </row>
    <row r="7" spans="1:10" ht="33.75" customHeight="1" x14ac:dyDescent="0.25">
      <c r="A7" s="23" t="s">
        <v>39</v>
      </c>
      <c r="B7" s="23" t="s">
        <v>256</v>
      </c>
      <c r="C7" s="23" t="s">
        <v>257</v>
      </c>
      <c r="D7" s="23" t="s">
        <v>250</v>
      </c>
      <c r="E7" s="26" t="s">
        <v>258</v>
      </c>
      <c r="F7" s="23">
        <v>-1.38E-2</v>
      </c>
      <c r="G7" s="23">
        <v>2.3199999999999998E-2</v>
      </c>
      <c r="H7" s="23">
        <v>2.8000000000000001E-2</v>
      </c>
      <c r="I7" s="23">
        <v>-2.1458999999999999E-2</v>
      </c>
      <c r="J7" s="27" t="s">
        <v>259</v>
      </c>
    </row>
    <row r="8" spans="1:10" ht="33.75" customHeight="1" x14ac:dyDescent="0.25">
      <c r="A8" s="24" t="s">
        <v>45</v>
      </c>
      <c r="B8" s="24" t="s">
        <v>260</v>
      </c>
      <c r="C8" s="24" t="s">
        <v>99</v>
      </c>
      <c r="D8" s="24">
        <v>1.2</v>
      </c>
      <c r="E8" s="26" t="s">
        <v>261</v>
      </c>
      <c r="F8" s="24">
        <v>0.124</v>
      </c>
      <c r="G8" s="24">
        <v>0.47299999999999998</v>
      </c>
      <c r="H8" s="24">
        <v>0.69199999999999995</v>
      </c>
      <c r="I8" s="24">
        <v>0.389822</v>
      </c>
      <c r="J8" s="24" t="s">
        <v>224</v>
      </c>
    </row>
    <row r="9" spans="1:10" ht="33.75" customHeight="1" x14ac:dyDescent="0.25">
      <c r="A9" s="23" t="s">
        <v>51</v>
      </c>
      <c r="B9" s="23" t="s">
        <v>262</v>
      </c>
      <c r="C9" s="23" t="s">
        <v>99</v>
      </c>
      <c r="D9" s="23">
        <v>1</v>
      </c>
      <c r="E9" s="26" t="s">
        <v>144</v>
      </c>
      <c r="F9" s="23">
        <v>6272.49</v>
      </c>
      <c r="G9" s="23">
        <v>37.28</v>
      </c>
      <c r="H9" s="23">
        <v>6309.8</v>
      </c>
      <c r="I9" s="23">
        <v>6172.33</v>
      </c>
      <c r="J9" s="23" t="s">
        <v>224</v>
      </c>
    </row>
    <row r="10" spans="1:10" ht="33.75" customHeight="1" x14ac:dyDescent="0.25">
      <c r="A10" s="24" t="s">
        <v>57</v>
      </c>
      <c r="B10" s="24" t="s">
        <v>263</v>
      </c>
      <c r="C10" s="24" t="s">
        <v>100</v>
      </c>
      <c r="D10" s="24">
        <v>1.3</v>
      </c>
      <c r="E10" s="26" t="s">
        <v>264</v>
      </c>
      <c r="F10" s="24">
        <v>-0.34200000000000003</v>
      </c>
      <c r="G10" s="24">
        <v>6.0999999999999999E-2</v>
      </c>
      <c r="H10" s="24">
        <v>-0.26300000000000001</v>
      </c>
      <c r="I10" s="24">
        <v>-0.54551400000000005</v>
      </c>
      <c r="J10" s="24" t="s">
        <v>265</v>
      </c>
    </row>
    <row r="11" spans="1:10" ht="33.75" customHeight="1" x14ac:dyDescent="0.25">
      <c r="A11" s="23" t="s">
        <v>63</v>
      </c>
      <c r="B11" s="23" t="s">
        <v>266</v>
      </c>
      <c r="C11" s="23" t="s">
        <v>99</v>
      </c>
      <c r="D11" s="23">
        <v>1.8</v>
      </c>
      <c r="E11" s="26" t="s">
        <v>267</v>
      </c>
      <c r="F11" s="23">
        <v>2.6587000000000001</v>
      </c>
      <c r="G11" s="23">
        <v>0.14979999999999999</v>
      </c>
      <c r="H11" s="23">
        <v>2.9283999999999999</v>
      </c>
      <c r="I11" s="23">
        <v>2.7262119999999999</v>
      </c>
      <c r="J11" s="27" t="s">
        <v>268</v>
      </c>
    </row>
    <row r="12" spans="1:10" ht="33.75" customHeight="1" x14ac:dyDescent="0.25">
      <c r="A12" s="24" t="s">
        <v>69</v>
      </c>
      <c r="B12" s="24" t="s">
        <v>266</v>
      </c>
      <c r="C12" s="24" t="s">
        <v>100</v>
      </c>
      <c r="D12" s="24">
        <v>0.8</v>
      </c>
      <c r="E12" s="26" t="s">
        <v>269</v>
      </c>
      <c r="F12" s="24">
        <v>10.012700000000001</v>
      </c>
      <c r="G12" s="24">
        <v>9.1800000000000007E-2</v>
      </c>
      <c r="H12" s="24">
        <v>10.0862</v>
      </c>
      <c r="I12" s="24">
        <v>9.9463069999999991</v>
      </c>
      <c r="J12" s="27" t="s">
        <v>270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3"/>
  <sheetViews>
    <sheetView showGridLines="0" zoomScaleNormal="100" workbookViewId="0"/>
  </sheetViews>
  <sheetFormatPr defaultColWidth="8.7109375" defaultRowHeight="15" x14ac:dyDescent="0.25"/>
  <cols>
    <col min="1" max="1" width="6" customWidth="1"/>
    <col min="2" max="2" width="20" customWidth="1"/>
    <col min="3" max="3" width="8" customWidth="1"/>
    <col min="4" max="4" width="18" customWidth="1"/>
    <col min="5" max="5" width="12" customWidth="1"/>
    <col min="6" max="6" width="50" customWidth="1"/>
  </cols>
  <sheetData>
    <row r="1" spans="1:6" ht="21.75" customHeight="1" x14ac:dyDescent="0.25">
      <c r="A1" s="10" t="s">
        <v>271</v>
      </c>
      <c r="B1" s="10"/>
      <c r="C1" s="10"/>
      <c r="D1" s="10"/>
      <c r="E1" s="10"/>
      <c r="F1" s="10"/>
    </row>
    <row r="2" spans="1:6" ht="30" customHeight="1" x14ac:dyDescent="0.25">
      <c r="A2" s="9" t="s">
        <v>272</v>
      </c>
      <c r="B2" s="9"/>
      <c r="C2" s="9"/>
      <c r="D2" s="9"/>
      <c r="E2" s="9"/>
      <c r="F2" s="9"/>
    </row>
    <row r="4" spans="1:6" ht="25.5" customHeight="1" x14ac:dyDescent="0.25">
      <c r="A4" s="14" t="s">
        <v>18</v>
      </c>
      <c r="B4" s="14" t="s">
        <v>273</v>
      </c>
      <c r="C4" s="14" t="s">
        <v>19</v>
      </c>
      <c r="D4" s="14" t="s">
        <v>274</v>
      </c>
      <c r="E4" s="14" t="s">
        <v>275</v>
      </c>
      <c r="F4" s="14" t="s">
        <v>276</v>
      </c>
    </row>
    <row r="5" spans="1:6" ht="45.75" customHeight="1" x14ac:dyDescent="0.25">
      <c r="A5" s="23" t="s">
        <v>33</v>
      </c>
      <c r="B5" s="23">
        <v>3.4299999999999997E-2</v>
      </c>
      <c r="C5" s="23">
        <v>2</v>
      </c>
      <c r="D5" s="23">
        <v>2.4299999999999999E-2</v>
      </c>
      <c r="E5" s="23" t="s">
        <v>30</v>
      </c>
      <c r="F5" s="23" t="s">
        <v>277</v>
      </c>
    </row>
    <row r="6" spans="1:6" ht="45.75" customHeight="1" x14ac:dyDescent="0.25">
      <c r="A6" s="24" t="s">
        <v>39</v>
      </c>
      <c r="B6" s="24">
        <v>0.2291</v>
      </c>
      <c r="C6" s="24">
        <v>3</v>
      </c>
      <c r="D6" s="24">
        <v>0.1323</v>
      </c>
      <c r="E6" s="24" t="s">
        <v>30</v>
      </c>
      <c r="F6" s="24" t="s">
        <v>278</v>
      </c>
    </row>
    <row r="7" spans="1:6" ht="45.75" customHeight="1" x14ac:dyDescent="0.25">
      <c r="A7" s="23" t="s">
        <v>45</v>
      </c>
      <c r="B7" s="23">
        <v>7.5600000000000001E-2</v>
      </c>
      <c r="C7" s="23">
        <v>4</v>
      </c>
      <c r="D7" s="23">
        <v>3.78E-2</v>
      </c>
      <c r="E7" s="23" t="s">
        <v>30</v>
      </c>
      <c r="F7" s="23" t="s">
        <v>277</v>
      </c>
    </row>
    <row r="8" spans="1:6" ht="45.75" customHeight="1" x14ac:dyDescent="0.25">
      <c r="A8" s="24" t="s">
        <v>51</v>
      </c>
      <c r="B8" s="24">
        <v>2.4E-2</v>
      </c>
      <c r="C8" s="24">
        <v>4</v>
      </c>
      <c r="D8" s="24">
        <v>1.2E-2</v>
      </c>
      <c r="E8" s="24" t="s">
        <v>279</v>
      </c>
      <c r="F8" s="24" t="s">
        <v>280</v>
      </c>
    </row>
    <row r="9" spans="1:6" ht="45.75" customHeight="1" x14ac:dyDescent="0.25">
      <c r="A9" s="23" t="s">
        <v>57</v>
      </c>
      <c r="B9" s="23">
        <v>0.24110000000000001</v>
      </c>
      <c r="C9" s="23">
        <v>5</v>
      </c>
      <c r="D9" s="23">
        <v>0.10780000000000001</v>
      </c>
      <c r="E9" s="23" t="s">
        <v>30</v>
      </c>
      <c r="F9" s="23" t="s">
        <v>281</v>
      </c>
    </row>
    <row r="10" spans="1:6" ht="45.75" customHeight="1" x14ac:dyDescent="0.25">
      <c r="A10" s="24" t="s">
        <v>63</v>
      </c>
      <c r="B10" s="24">
        <v>0.5585</v>
      </c>
      <c r="C10" s="24">
        <v>6</v>
      </c>
      <c r="D10" s="24">
        <v>0.22800000000000001</v>
      </c>
      <c r="E10" s="28" t="s">
        <v>73</v>
      </c>
      <c r="F10" s="24" t="s">
        <v>282</v>
      </c>
    </row>
    <row r="11" spans="1:6" ht="45.75" customHeight="1" x14ac:dyDescent="0.25">
      <c r="A11" s="23" t="s">
        <v>69</v>
      </c>
      <c r="B11" s="23">
        <v>0.4466</v>
      </c>
      <c r="C11" s="23">
        <v>8</v>
      </c>
      <c r="D11" s="23">
        <v>0.15790000000000001</v>
      </c>
      <c r="E11" s="28" t="s">
        <v>73</v>
      </c>
      <c r="F11" s="23" t="s">
        <v>283</v>
      </c>
    </row>
    <row r="13" spans="1:6" ht="55.5" customHeight="1" x14ac:dyDescent="0.25">
      <c r="A13" s="1" t="s">
        <v>284</v>
      </c>
      <c r="B13" s="1"/>
      <c r="C13" s="1"/>
      <c r="D13" s="1"/>
      <c r="E13" s="1"/>
      <c r="F13" s="1"/>
    </row>
  </sheetData>
  <mergeCells count="3">
    <mergeCell ref="A1:F1"/>
    <mergeCell ref="A2:F2"/>
    <mergeCell ref="A13:F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Week 5 Results Assessment</vt:lpstr>
      <vt:lpstr>Regression Diagnostics</vt:lpstr>
      <vt:lpstr>GP Kernel Comparison</vt:lpstr>
      <vt:lpstr>F1 Deep Dive</vt:lpstr>
      <vt:lpstr>F5 Trust Region Check</vt:lpstr>
      <vt:lpstr>F7 Beta Sensitivity</vt:lpstr>
      <vt:lpstr>Visualization Ideas (Nivas)</vt:lpstr>
      <vt:lpstr>Performance Heatmap</vt:lpstr>
      <vt:lpstr>Beta Trajectory</vt:lpstr>
      <vt:lpstr>Contribution and Interaction</vt:lpstr>
      <vt:lpstr>Week 6 Query Recommendations</vt:lpstr>
      <vt:lpstr>Extrapolation Check (All Fns)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Srinivasan Rajasekaran</cp:lastModifiedBy>
  <cp:revision>4</cp:revision>
  <dcterms:created xsi:type="dcterms:W3CDTF">2026-07-09T07:19:46Z</dcterms:created>
  <dcterms:modified xsi:type="dcterms:W3CDTF">2026-07-11T07:25:12Z</dcterms:modified>
  <dc:language>en-US</dc:language>
</cp:coreProperties>
</file>