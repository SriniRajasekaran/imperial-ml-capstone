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snee\Documents\Nivas HD\ML AI References\Capstone Project\Stage 2\Week 1\"/>
    </mc:Choice>
  </mc:AlternateContent>
  <xr:revisionPtr revIDLastSave="0" documentId="13_ncr:1_{8750E44A-B9AD-4F5B-AE85-4B79F6B2FC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view" sheetId="1" r:id="rId1"/>
    <sheet name="Beta Coefficients" sheetId="2" r:id="rId2"/>
    <sheet name="F1 Detail" sheetId="3" r:id="rId3"/>
    <sheet name="F2 Detail" sheetId="4" r:id="rId4"/>
    <sheet name="F3 Detail" sheetId="5" r:id="rId5"/>
    <sheet name="F4 Detail" sheetId="6" r:id="rId6"/>
    <sheet name="F5 Detail" sheetId="7" r:id="rId7"/>
    <sheet name="F6 Detail" sheetId="8" r:id="rId8"/>
    <sheet name="F7 Detail" sheetId="9" r:id="rId9"/>
    <sheet name="F8 Detail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6" l="1"/>
</calcChain>
</file>

<file path=xl/sharedStrings.xml><?xml version="1.0" encoding="utf-8"?>
<sst xmlns="http://schemas.openxmlformats.org/spreadsheetml/2006/main" count="409" uniqueCount="110">
  <si>
    <t>BBO Challenge — Module 12 Week 1 | Regression + GP-UCB Analysis</t>
  </si>
  <si>
    <t>OLS regression (standardised betas) compared against GP-UCB. Final query uses regression when R²&gt;0.30 AND predicted y exceeds current best.</t>
  </si>
  <si>
    <t>Fn</t>
  </si>
  <si>
    <t>Description</t>
  </si>
  <si>
    <t>Dims</t>
  </si>
  <si>
    <t>N pts</t>
  </si>
  <si>
    <t>Best y</t>
  </si>
  <si>
    <t>R²</t>
  </si>
  <si>
    <t>Signal</t>
  </si>
  <si>
    <t>Reg Query</t>
  </si>
  <si>
    <t>Reg Pred y</t>
  </si>
  <si>
    <t>GP-UCB Query</t>
  </si>
  <si>
    <t>Method</t>
  </si>
  <si>
    <t>Final Query</t>
  </si>
  <si>
    <t>F1</t>
  </si>
  <si>
    <t>Radiation field detection</t>
  </si>
  <si>
    <t>Weak</t>
  </si>
  <si>
    <t>0.050000-0.050000</t>
  </si>
  <si>
    <t>0.598658-0.156019</t>
  </si>
  <si>
    <t>GP-UCB</t>
  </si>
  <si>
    <t>F2</t>
  </si>
  <si>
    <t>Noisy ML log-likelihood</t>
  </si>
  <si>
    <t>Strong</t>
  </si>
  <si>
    <t>0.950000-0.050000</t>
  </si>
  <si>
    <t>0.472665-0.061138</t>
  </si>
  <si>
    <t>F3</t>
  </si>
  <si>
    <t>Drug discovery</t>
  </si>
  <si>
    <t>0.950000-0.050000-0.050000</t>
  </si>
  <si>
    <t>0.506745-0.606548-0.330793</t>
  </si>
  <si>
    <t>Regression</t>
  </si>
  <si>
    <t>F4</t>
  </si>
  <si>
    <t>Warehouse allocation</t>
  </si>
  <si>
    <t>0.050000-0.050000-0.050000-0.050000</t>
  </si>
  <si>
    <t>0.400827-0.428837-0.398466-0.449225</t>
  </si>
  <si>
    <t>F5</t>
  </si>
  <si>
    <t>Chemical yield</t>
  </si>
  <si>
    <t>0.050000-0.950000-0.950000-0.950000</t>
  </si>
  <si>
    <t>0.360299-0.942015-0.919077-0.900569</t>
  </si>
  <si>
    <t>F6</t>
  </si>
  <si>
    <t>Recipe scoring</t>
  </si>
  <si>
    <t>0.050000-0.050000-0.950000-0.950000-0.050000</t>
  </si>
  <si>
    <t>0.296398-0.409634-0.380408-0.697557-0.018763</t>
  </si>
  <si>
    <t>F7</t>
  </si>
  <si>
    <t>ML hyperparameter tuning</t>
  </si>
  <si>
    <t>0.050000-0.950000-0.950000-0.050000-0.050000-0.950000</t>
  </si>
  <si>
    <t>0.118951-0.343205-0.289884-0.186974-0.285469-0.789029</t>
  </si>
  <si>
    <t>F8</t>
  </si>
  <si>
    <t>Neural network tuning</t>
  </si>
  <si>
    <t>0.050000-0.050000-0.050000-0.050000-0.950000-0.050000-0.050000-0.950000</t>
  </si>
  <si>
    <t>0.069392-0.052126-0.009451-0.005710-0.560896-0.321453-0.013713-0.233966</t>
  </si>
  <si>
    <t>Standardised Beta Coefficients — What drives each function?</t>
  </si>
  <si>
    <t>Green = positive beta (push input towards 1.0 to increase y).  Red = negative beta (push input towards 0.0 to increase y).  Larger absolute value = stronger driver.</t>
  </si>
  <si>
    <t>Intercept</t>
  </si>
  <si>
    <t>β x1</t>
  </si>
  <si>
    <t>β x2</t>
  </si>
  <si>
    <t>β x3</t>
  </si>
  <si>
    <t>β x4</t>
  </si>
  <si>
    <t>β x5</t>
  </si>
  <si>
    <t>β x6</t>
  </si>
  <si>
    <t>β x7</t>
  </si>
  <si>
    <t>β x8</t>
  </si>
  <si>
    <t>Direction logic</t>
  </si>
  <si>
    <t>—</t>
  </si>
  <si>
    <t>x1→0  x2→0</t>
  </si>
  <si>
    <t>x1→1  x2→0</t>
  </si>
  <si>
    <t>x1→1  x2→0  x3→0</t>
  </si>
  <si>
    <t>x1→0  x2→0  x3→0  x4→0</t>
  </si>
  <si>
    <t>x1→0  x2→1  x3→1  x4→1</t>
  </si>
  <si>
    <t>x1→0  x2→0  x3→1  x4→1  x5→0</t>
  </si>
  <si>
    <t>x1→0  x2→1  x3→1  x4→0  x5→0  x6→1</t>
  </si>
  <si>
    <t>x1→0  x2→0  x3→0  x4→0  x5→1  x6→0  x7→0  x8→1</t>
  </si>
  <si>
    <t>F1 — Radiation field detection (2D)  |  R²=0.0365  |  Method: GP-UCB</t>
  </si>
  <si>
    <t>Initial Data Points</t>
  </si>
  <si>
    <t>Point</t>
  </si>
  <si>
    <t>x1 (input)</t>
  </si>
  <si>
    <t>x2 (input)</t>
  </si>
  <si>
    <t>y (output)</t>
  </si>
  <si>
    <t>Beta Coefficients (standardised OLS)</t>
  </si>
  <si>
    <t>→ 0.0 (min)</t>
  </si>
  <si>
    <t>Weak fit — use GP</t>
  </si>
  <si>
    <t>Query Comparison — Regression vs GP-UCB</t>
  </si>
  <si>
    <t>Portal Format</t>
  </si>
  <si>
    <t>Predicted y</t>
  </si>
  <si>
    <t>vs Best y</t>
  </si>
  <si>
    <t>Selected?</t>
  </si>
  <si>
    <t>+0.0001</t>
  </si>
  <si>
    <t>N/A</t>
  </si>
  <si>
    <t>YES</t>
  </si>
  <si>
    <t>F2 — Noisy ML log-likelihood (2D)  |  R²=0.5691  |  Method: GP-UCB</t>
  </si>
  <si>
    <t>→ 1.0 (max)</t>
  </si>
  <si>
    <t>Strong fit</t>
  </si>
  <si>
    <t>+-0.0271</t>
  </si>
  <si>
    <t>F3 — Drug discovery (3D)  |  R²=0.3681  |  Method: Regression</t>
  </si>
  <si>
    <t>x3 (input)</t>
  </si>
  <si>
    <t>+0.0446</t>
  </si>
  <si>
    <t>F4 — Warehouse allocation (4D)  |  R²=0.5794  |  Method: GP-UCB</t>
  </si>
  <si>
    <t>x4 (input)</t>
  </si>
  <si>
    <t>+-0.4442</t>
  </si>
  <si>
    <t>F5 — Chemical yield (4D)  |  R²=0.6622  |  Method: GP-UCB</t>
  </si>
  <si>
    <t>+-300.6695</t>
  </si>
  <si>
    <t>F6 — Recipe scoring (5D)  |  R²=0.6473  |  Method: Regression</t>
  </si>
  <si>
    <t>x5 (input)</t>
  </si>
  <si>
    <t>+0.4172</t>
  </si>
  <si>
    <t>F7 — ML hyperparameter tuning (6D)  |  R²=0.3462  |  Method: GP-UCB</t>
  </si>
  <si>
    <t>x6 (input)</t>
  </si>
  <si>
    <t>+-0.5632</t>
  </si>
  <si>
    <t>F8 — Neural network tuning (8D)  |  R²=0.8990  |  Method: Regression</t>
  </si>
  <si>
    <t>x7 (input)</t>
  </si>
  <si>
    <t>x8 (input)</t>
  </si>
  <si>
    <t>+1.371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</si>
</sst>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1F3864"/>
      <name val="Arial"/>
      <family val="2"/>
    </font>
    <font>
      <b/>
      <sz val="10"/>
      <color rgb="FFFFFFFF"/>
      <name val="Arial"/>
      <family val="2"/>
    </font>
    <font>
      <sz val="9"/>
      <color rgb="FF1F1F1F"/>
      <name val="Arial"/>
      <family val="2"/>
    </font>
    <font>
      <b/>
      <sz val="9"/>
      <color rgb="FFFF8F00"/>
      <name val="Arial"/>
      <family val="2"/>
    </font>
    <font>
      <b/>
      <sz val="9"/>
      <color rgb="FF2E75B6"/>
      <name val="Arial"/>
      <family val="2"/>
    </font>
    <font>
      <b/>
      <sz val="9"/>
      <color rgb="FFE8613C"/>
      <name val="Arial"/>
      <family val="2"/>
    </font>
    <font>
      <b/>
      <sz val="9"/>
      <color rgb="FF2E7D32"/>
      <name val="Arial"/>
      <family val="2"/>
    </font>
    <font>
      <b/>
      <sz val="9"/>
      <color rgb="FFFFFFFF"/>
      <name val="Arial"/>
      <family val="2"/>
    </font>
    <font>
      <b/>
      <sz val="9"/>
      <color rgb="FFC62828"/>
      <name val="Arial"/>
      <family val="2"/>
    </font>
    <font>
      <sz val="9"/>
      <color rgb="FF999999"/>
      <name val="Arial"/>
      <family val="2"/>
    </font>
    <font>
      <b/>
      <sz val="12"/>
      <color rgb="FFFFFFFF"/>
      <name val="Arial"/>
      <family val="2"/>
    </font>
    <font>
      <b/>
      <sz val="9"/>
      <color rgb="FF1F1F1F"/>
      <name val="Arial"/>
      <family val="2"/>
    </font>
    <font>
      <b/>
      <sz val="9"/>
      <color rgb="FF1565C0"/>
      <name val="Arial"/>
      <family val="2"/>
    </font>
    <font>
      <sz val="9"/>
      <color rgb="FF1565C0"/>
      <name val="Arial"/>
      <family val="2"/>
    </font>
    <font>
      <sz val="9"/>
      <color rgb="FFC62828"/>
      <name val="Arial"/>
      <family val="2"/>
    </font>
    <font>
      <i/>
      <sz val="9"/>
      <color rgb="FFC62828"/>
      <name val="Arial"/>
      <family val="2"/>
    </font>
    <font>
      <i/>
      <sz val="9"/>
      <color rgb="FFFF8F00"/>
      <name val="Arial"/>
      <family val="2"/>
    </font>
    <font>
      <sz val="9"/>
      <color rgb="FF2E7D32"/>
      <name val="Arial"/>
      <family val="2"/>
    </font>
    <font>
      <i/>
      <sz val="9"/>
      <color rgb="FF2E7D3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FFF9C4"/>
      </patternFill>
    </fill>
    <fill>
      <patternFill patternType="solid">
        <fgColor rgb="FFEBF3FB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2F2F2"/>
      </patternFill>
    </fill>
    <fill>
      <patternFill patternType="solid">
        <fgColor rgb="FFE8613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164" fontId="14" fillId="7" borderId="1" xfId="0" applyNumberFormat="1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164" fontId="15" fillId="8" borderId="1" xfId="0" applyNumberFormat="1" applyFont="1" applyFill="1" applyBorder="1" applyAlignment="1">
      <alignment horizontal="center" vertical="center"/>
    </xf>
    <xf numFmtId="164" fontId="16" fillId="10" borderId="1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'F4 Detail'!$F$5:$F$34</c:f>
              <c:numCache>
                <c:formatCode>0.000000</c:formatCode>
                <c:ptCount val="30"/>
                <c:pt idx="0">
                  <c:v>-22.108288000000002</c:v>
                </c:pt>
                <c:pt idx="1">
                  <c:v>-14.601397</c:v>
                </c:pt>
                <c:pt idx="2">
                  <c:v>-11.699932</c:v>
                </c:pt>
                <c:pt idx="3">
                  <c:v>-16.053764999999999</c:v>
                </c:pt>
                <c:pt idx="4">
                  <c:v>-10.069633</c:v>
                </c:pt>
                <c:pt idx="5">
                  <c:v>-15.487083</c:v>
                </c:pt>
                <c:pt idx="6">
                  <c:v>-12.681685</c:v>
                </c:pt>
                <c:pt idx="7">
                  <c:v>-16.026399999999999</c:v>
                </c:pt>
                <c:pt idx="8">
                  <c:v>-17.049234999999999</c:v>
                </c:pt>
                <c:pt idx="9">
                  <c:v>-12.741766</c:v>
                </c:pt>
                <c:pt idx="10">
                  <c:v>-27.316396000000001</c:v>
                </c:pt>
                <c:pt idx="11">
                  <c:v>-13.527649</c:v>
                </c:pt>
                <c:pt idx="12">
                  <c:v>-16.679114999999999</c:v>
                </c:pt>
                <c:pt idx="13">
                  <c:v>-16.507159000000001</c:v>
                </c:pt>
                <c:pt idx="14">
                  <c:v>-17.817999</c:v>
                </c:pt>
                <c:pt idx="15">
                  <c:v>-26.561820999999998</c:v>
                </c:pt>
                <c:pt idx="16">
                  <c:v>-12.758324</c:v>
                </c:pt>
                <c:pt idx="17">
                  <c:v>-19.441558000000001</c:v>
                </c:pt>
                <c:pt idx="18">
                  <c:v>-28.903274</c:v>
                </c:pt>
                <c:pt idx="19">
                  <c:v>-13.702747</c:v>
                </c:pt>
                <c:pt idx="20">
                  <c:v>-29.427091000000001</c:v>
                </c:pt>
                <c:pt idx="21">
                  <c:v>-11.565742</c:v>
                </c:pt>
                <c:pt idx="22">
                  <c:v>-26.857786000000001</c:v>
                </c:pt>
                <c:pt idx="23">
                  <c:v>-7.9667750000000002</c:v>
                </c:pt>
                <c:pt idx="24">
                  <c:v>-6.702089</c:v>
                </c:pt>
                <c:pt idx="25">
                  <c:v>-32.625660000000003</c:v>
                </c:pt>
                <c:pt idx="26">
                  <c:v>-19.989498000000001</c:v>
                </c:pt>
                <c:pt idx="27">
                  <c:v>-4.0255419999999997</c:v>
                </c:pt>
                <c:pt idx="28">
                  <c:v>-13.122782000000001</c:v>
                </c:pt>
                <c:pt idx="29">
                  <c:v>-23.139427999999999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B2-4E98-BDB4-1DE0EA33F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603359"/>
        <c:axId val="1828597119"/>
      </c:scatterChart>
      <c:valAx>
        <c:axId val="182860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597119"/>
        <c:crosses val="autoZero"/>
        <c:crossBetween val="midCat"/>
      </c:valAx>
      <c:valAx>
        <c:axId val="182859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0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'F5 Detail'!$F$5:$F$24</c:f>
              <c:numCache>
                <c:formatCode>0.000000</c:formatCode>
                <c:ptCount val="20"/>
                <c:pt idx="0">
                  <c:v>64.443439999999995</c:v>
                </c:pt>
                <c:pt idx="1">
                  <c:v>18.301380000000002</c:v>
                </c:pt>
                <c:pt idx="2">
                  <c:v>0.11294</c:v>
                </c:pt>
                <c:pt idx="3">
                  <c:v>4.2108980000000003</c:v>
                </c:pt>
                <c:pt idx="4">
                  <c:v>258.37052499999999</c:v>
                </c:pt>
                <c:pt idx="5">
                  <c:v>78.434388999999996</c:v>
                </c:pt>
                <c:pt idx="6">
                  <c:v>57.571536999999999</c:v>
                </c:pt>
                <c:pt idx="7">
                  <c:v>109.571876</c:v>
                </c:pt>
                <c:pt idx="8">
                  <c:v>8.8479919999999996</c:v>
                </c:pt>
                <c:pt idx="9">
                  <c:v>233.22361000000001</c:v>
                </c:pt>
                <c:pt idx="10">
                  <c:v>24.423088</c:v>
                </c:pt>
                <c:pt idx="11">
                  <c:v>64.420147</c:v>
                </c:pt>
                <c:pt idx="12">
                  <c:v>63.476716000000003</c:v>
                </c:pt>
                <c:pt idx="13">
                  <c:v>79.729129999999998</c:v>
                </c:pt>
                <c:pt idx="14">
                  <c:v>355.80681800000002</c:v>
                </c:pt>
                <c:pt idx="15">
                  <c:v>1088.859618</c:v>
                </c:pt>
                <c:pt idx="16">
                  <c:v>28.866752000000002</c:v>
                </c:pt>
                <c:pt idx="17">
                  <c:v>45.181570000000001</c:v>
                </c:pt>
                <c:pt idx="18">
                  <c:v>431.61275699999999</c:v>
                </c:pt>
                <c:pt idx="19">
                  <c:v>9.9723319999999998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A4-4165-B7A5-8FEFC78DA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599999"/>
        <c:axId val="1828596639"/>
      </c:scatterChart>
      <c:valAx>
        <c:axId val="182859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596639"/>
        <c:crosses val="autoZero"/>
        <c:crossBetween val="midCat"/>
      </c:valAx>
      <c:valAx>
        <c:axId val="182859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599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'F6 Detail'!$G$5:$G$24</c:f>
              <c:numCache>
                <c:formatCode>0.000000</c:formatCode>
                <c:ptCount val="20"/>
                <c:pt idx="0">
                  <c:v>-0.71426500000000004</c:v>
                </c:pt>
                <c:pt idx="1">
                  <c:v>-1.2099549999999999</c:v>
                </c:pt>
                <c:pt idx="2">
                  <c:v>-1.6721999999999999</c:v>
                </c:pt>
                <c:pt idx="3">
                  <c:v>-1.5360579999999999</c:v>
                </c:pt>
                <c:pt idx="4">
                  <c:v>-0.829237</c:v>
                </c:pt>
                <c:pt idx="5">
                  <c:v>-1.2470490000000001</c:v>
                </c:pt>
                <c:pt idx="6">
                  <c:v>-1.233786</c:v>
                </c:pt>
                <c:pt idx="7">
                  <c:v>-1.6943429999999999</c:v>
                </c:pt>
                <c:pt idx="8">
                  <c:v>-2.57117</c:v>
                </c:pt>
                <c:pt idx="9">
                  <c:v>-1.3091159999999999</c:v>
                </c:pt>
                <c:pt idx="10">
                  <c:v>-1.1447849999999999</c:v>
                </c:pt>
                <c:pt idx="11">
                  <c:v>-1.912677</c:v>
                </c:pt>
                <c:pt idx="12">
                  <c:v>-1.6228389999999999</c:v>
                </c:pt>
                <c:pt idx="13">
                  <c:v>-1.3566819999999999</c:v>
                </c:pt>
                <c:pt idx="14">
                  <c:v>-2.0184250000000001</c:v>
                </c:pt>
                <c:pt idx="15">
                  <c:v>-1.702558</c:v>
                </c:pt>
                <c:pt idx="16">
                  <c:v>-1.2942469999999999</c:v>
                </c:pt>
                <c:pt idx="17">
                  <c:v>-0.93575699999999995</c:v>
                </c:pt>
                <c:pt idx="18">
                  <c:v>-2.1557680000000001</c:v>
                </c:pt>
                <c:pt idx="19">
                  <c:v>-1.746882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0A-4DF3-AC0E-28F2D4701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617279"/>
        <c:axId val="1828600959"/>
      </c:scatterChart>
      <c:valAx>
        <c:axId val="182861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00959"/>
        <c:crosses val="autoZero"/>
        <c:crossBetween val="midCat"/>
      </c:valAx>
      <c:valAx>
        <c:axId val="182860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1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'F7 Detail'!$H$5:$H$34</c:f>
              <c:numCache>
                <c:formatCode>0.000000</c:formatCode>
                <c:ptCount val="30"/>
                <c:pt idx="0">
                  <c:v>0.604433</c:v>
                </c:pt>
                <c:pt idx="1">
                  <c:v>0.56275299999999995</c:v>
                </c:pt>
                <c:pt idx="2">
                  <c:v>7.5030000000000001E-3</c:v>
                </c:pt>
                <c:pt idx="3">
                  <c:v>6.1423999999999999E-2</c:v>
                </c:pt>
                <c:pt idx="4">
                  <c:v>0.27304699999999998</c:v>
                </c:pt>
                <c:pt idx="5">
                  <c:v>8.3747000000000002E-2</c:v>
                </c:pt>
                <c:pt idx="6">
                  <c:v>1.364968</c:v>
                </c:pt>
                <c:pt idx="7">
                  <c:v>9.2645000000000005E-2</c:v>
                </c:pt>
                <c:pt idx="8">
                  <c:v>1.787E-2</c:v>
                </c:pt>
                <c:pt idx="9">
                  <c:v>3.3564999999999998E-2</c:v>
                </c:pt>
                <c:pt idx="10">
                  <c:v>7.3515999999999998E-2</c:v>
                </c:pt>
                <c:pt idx="11">
                  <c:v>0.20630999999999999</c:v>
                </c:pt>
                <c:pt idx="12">
                  <c:v>8.8260000000000005E-3</c:v>
                </c:pt>
                <c:pt idx="13">
                  <c:v>0.26840000000000003</c:v>
                </c:pt>
                <c:pt idx="14">
                  <c:v>0.61152600000000001</c:v>
                </c:pt>
                <c:pt idx="15">
                  <c:v>1.4798E-2</c:v>
                </c:pt>
                <c:pt idx="16">
                  <c:v>0.274893</c:v>
                </c:pt>
                <c:pt idx="17">
                  <c:v>6.6763000000000003E-2</c:v>
                </c:pt>
                <c:pt idx="18">
                  <c:v>4.2118000000000003E-2</c:v>
                </c:pt>
                <c:pt idx="19">
                  <c:v>2.7009999999999998E-3</c:v>
                </c:pt>
                <c:pt idx="20">
                  <c:v>1.8208999999999999E-2</c:v>
                </c:pt>
                <c:pt idx="21">
                  <c:v>7.0159999999999997E-3</c:v>
                </c:pt>
                <c:pt idx="22">
                  <c:v>0.100507</c:v>
                </c:pt>
                <c:pt idx="23">
                  <c:v>0.47539599999999999</c:v>
                </c:pt>
                <c:pt idx="24">
                  <c:v>0.67514200000000002</c:v>
                </c:pt>
                <c:pt idx="25">
                  <c:v>0.51645700000000005</c:v>
                </c:pt>
                <c:pt idx="26">
                  <c:v>3.777E-3</c:v>
                </c:pt>
                <c:pt idx="27">
                  <c:v>3.1340000000000001E-3</c:v>
                </c:pt>
                <c:pt idx="28">
                  <c:v>2.1343000000000001E-2</c:v>
                </c:pt>
                <c:pt idx="29">
                  <c:v>9.5410999999999996E-2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B2-4F28-9A40-3FEF15793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601439"/>
        <c:axId val="1828607679"/>
      </c:scatterChart>
      <c:valAx>
        <c:axId val="182860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07679"/>
        <c:crosses val="autoZero"/>
        <c:crossBetween val="midCat"/>
      </c:valAx>
      <c:valAx>
        <c:axId val="182860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01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'F8 Detail'!$J$5:$J$44</c:f>
              <c:numCache>
                <c:formatCode>0.000000</c:formatCode>
                <c:ptCount val="40"/>
                <c:pt idx="0">
                  <c:v>7.3987210000000001</c:v>
                </c:pt>
                <c:pt idx="1">
                  <c:v>7.0052269999999996</c:v>
                </c:pt>
                <c:pt idx="2">
                  <c:v>8.4594819999999995</c:v>
                </c:pt>
                <c:pt idx="3">
                  <c:v>8.284008</c:v>
                </c:pt>
                <c:pt idx="4">
                  <c:v>8.6061169999999994</c:v>
                </c:pt>
                <c:pt idx="5">
                  <c:v>8.5417480000000001</c:v>
                </c:pt>
                <c:pt idx="6">
                  <c:v>7.3274350000000004</c:v>
                </c:pt>
                <c:pt idx="7">
                  <c:v>7.2998719999999997</c:v>
                </c:pt>
                <c:pt idx="8">
                  <c:v>7.9578749999999996</c:v>
                </c:pt>
                <c:pt idx="9">
                  <c:v>5.592193</c:v>
                </c:pt>
                <c:pt idx="10">
                  <c:v>7.8545410000000002</c:v>
                </c:pt>
                <c:pt idx="11">
                  <c:v>6.7919859999999996</c:v>
                </c:pt>
                <c:pt idx="12">
                  <c:v>8.9765540000000001</c:v>
                </c:pt>
                <c:pt idx="13">
                  <c:v>7.3790829999999996</c:v>
                </c:pt>
                <c:pt idx="14">
                  <c:v>9.5984820000000006</c:v>
                </c:pt>
                <c:pt idx="15">
                  <c:v>8.1599830000000004</c:v>
                </c:pt>
                <c:pt idx="16">
                  <c:v>7.1316240000000004</c:v>
                </c:pt>
                <c:pt idx="17">
                  <c:v>6.767963</c:v>
                </c:pt>
                <c:pt idx="18">
                  <c:v>7.4337439999999999</c:v>
                </c:pt>
                <c:pt idx="19">
                  <c:v>9.0130750000000006</c:v>
                </c:pt>
                <c:pt idx="20">
                  <c:v>7.3108940000000002</c:v>
                </c:pt>
                <c:pt idx="21">
                  <c:v>5.8410669999999998</c:v>
                </c:pt>
                <c:pt idx="22">
                  <c:v>9.1416389999999996</c:v>
                </c:pt>
                <c:pt idx="23">
                  <c:v>8.817558</c:v>
                </c:pt>
                <c:pt idx="24">
                  <c:v>6.451943</c:v>
                </c:pt>
                <c:pt idx="25">
                  <c:v>8.8307450000000003</c:v>
                </c:pt>
                <c:pt idx="26">
                  <c:v>9.3442740000000004</c:v>
                </c:pt>
                <c:pt idx="27">
                  <c:v>6.8878459999999997</c:v>
                </c:pt>
                <c:pt idx="28">
                  <c:v>8.0422130000000003</c:v>
                </c:pt>
                <c:pt idx="29">
                  <c:v>7.6923680000000001</c:v>
                </c:pt>
                <c:pt idx="30">
                  <c:v>7.9237590000000004</c:v>
                </c:pt>
                <c:pt idx="31">
                  <c:v>8.4217589999999998</c:v>
                </c:pt>
                <c:pt idx="32">
                  <c:v>8.2780620000000003</c:v>
                </c:pt>
                <c:pt idx="33">
                  <c:v>7.1134570000000004</c:v>
                </c:pt>
                <c:pt idx="34">
                  <c:v>6.4025879999999997</c:v>
                </c:pt>
                <c:pt idx="35">
                  <c:v>8.4729360000000007</c:v>
                </c:pt>
                <c:pt idx="36">
                  <c:v>7.9776850000000001</c:v>
                </c:pt>
                <c:pt idx="37">
                  <c:v>7.4608720000000002</c:v>
                </c:pt>
                <c:pt idx="38">
                  <c:v>7.4365940000000004</c:v>
                </c:pt>
                <c:pt idx="39">
                  <c:v>9.1830049999999996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3C-4EEA-9C38-9235CEF18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612479"/>
        <c:axId val="1828615359"/>
      </c:scatterChart>
      <c:valAx>
        <c:axId val="182861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15359"/>
        <c:crosses val="autoZero"/>
        <c:crossBetween val="midCat"/>
      </c:valAx>
      <c:valAx>
        <c:axId val="182861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1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4</xdr:row>
      <xdr:rowOff>186690</xdr:rowOff>
    </xdr:from>
    <xdr:to>
      <xdr:col>14</xdr:col>
      <xdr:colOff>320040</xdr:colOff>
      <xdr:row>19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40FE3A-715E-8671-7905-AC6CFA22A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4</xdr:row>
      <xdr:rowOff>118110</xdr:rowOff>
    </xdr:from>
    <xdr:to>
      <xdr:col>14</xdr:col>
      <xdr:colOff>297180</xdr:colOff>
      <xdr:row>19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69284E-4E28-0883-88D0-7344E9EDA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464820</xdr:colOff>
      <xdr:row>2</xdr:row>
      <xdr:rowOff>57150</xdr:rowOff>
    </xdr:from>
    <xdr:to>
      <xdr:col>15</xdr:col>
      <xdr:colOff>160020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3B951-00B0-D0ED-2A95-B6239BB7A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2</xdr:row>
      <xdr:rowOff>224790</xdr:rowOff>
    </xdr:from>
    <xdr:to>
      <xdr:col>16</xdr:col>
      <xdr:colOff>76200</xdr:colOff>
      <xdr:row>17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73C50-C354-DA1A-DCA6-CAD929194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434340</xdr:colOff>
      <xdr:row>2</xdr:row>
      <xdr:rowOff>64770</xdr:rowOff>
    </xdr:from>
    <xdr:to>
      <xdr:col>18</xdr:col>
      <xdr:colOff>129540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9256B-0209-F1FD-E734-A345FF338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topLeftCell="B1" workbookViewId="0">
      <selection activeCell="H15" sqref="H15"/>
    </sheetView>
  </sheetViews>
  <sheetFormatPr defaultRowHeight="14.4" x14ac:dyDescent="0.3"/>
  <cols>
    <col min="1" max="1" width="5" customWidth="1"/>
    <col min="2" max="2" width="26" customWidth="1"/>
    <col min="3" max="4" width="6" customWidth="1"/>
    <col min="5" max="5" width="14" customWidth="1"/>
    <col min="6" max="6" width="7" customWidth="1"/>
    <col min="7" max="7" width="9" customWidth="1"/>
    <col min="8" max="8" width="42" customWidth="1"/>
    <col min="9" max="9" width="13" customWidth="1"/>
    <col min="10" max="10" width="42" customWidth="1"/>
    <col min="11" max="11" width="13" customWidth="1"/>
    <col min="12" max="12" width="42" customWidth="1"/>
  </cols>
  <sheetData>
    <row r="1" spans="1:12" ht="28.05" customHeight="1" x14ac:dyDescent="0.3">
      <c r="A1" s="3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6.05" customHeight="1" x14ac:dyDescent="0.3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7.95" customHeight="1" x14ac:dyDescent="0.3"/>
    <row r="4" spans="1:12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28.05" customHeight="1" x14ac:dyDescent="0.3">
      <c r="A5" s="2" t="s">
        <v>14</v>
      </c>
      <c r="B5" s="2" t="s">
        <v>15</v>
      </c>
      <c r="C5" s="2">
        <v>2</v>
      </c>
      <c r="D5" s="2">
        <v>10</v>
      </c>
      <c r="E5" s="2">
        <v>0</v>
      </c>
      <c r="F5" s="2">
        <v>3.6499999999999998E-2</v>
      </c>
      <c r="G5" s="3" t="s">
        <v>16</v>
      </c>
      <c r="H5" s="2" t="s">
        <v>17</v>
      </c>
      <c r="I5" s="2">
        <v>1.1E-4</v>
      </c>
      <c r="J5" s="2" t="s">
        <v>18</v>
      </c>
      <c r="K5" s="4" t="s">
        <v>19</v>
      </c>
      <c r="L5" s="5" t="s">
        <v>18</v>
      </c>
    </row>
    <row r="6" spans="1:12" ht="28.05" customHeight="1" x14ac:dyDescent="0.3">
      <c r="A6" s="6" t="s">
        <v>20</v>
      </c>
      <c r="B6" s="6" t="s">
        <v>21</v>
      </c>
      <c r="C6" s="6">
        <v>2</v>
      </c>
      <c r="D6" s="6">
        <v>10</v>
      </c>
      <c r="E6" s="6">
        <v>0.611205</v>
      </c>
      <c r="F6" s="6">
        <v>0.56910000000000005</v>
      </c>
      <c r="G6" s="7" t="s">
        <v>22</v>
      </c>
      <c r="H6" s="6" t="s">
        <v>23</v>
      </c>
      <c r="I6" s="6">
        <v>0.58407600000000004</v>
      </c>
      <c r="J6" s="6" t="s">
        <v>24</v>
      </c>
      <c r="K6" s="4" t="s">
        <v>19</v>
      </c>
      <c r="L6" s="5" t="s">
        <v>24</v>
      </c>
    </row>
    <row r="7" spans="1:12" ht="28.05" customHeight="1" x14ac:dyDescent="0.3">
      <c r="A7" s="2" t="s">
        <v>25</v>
      </c>
      <c r="B7" s="2" t="s">
        <v>26</v>
      </c>
      <c r="C7" s="2">
        <v>3</v>
      </c>
      <c r="D7" s="2">
        <v>15</v>
      </c>
      <c r="E7" s="2">
        <v>-3.4834999999999998E-2</v>
      </c>
      <c r="F7" s="2">
        <v>0.36809999999999998</v>
      </c>
      <c r="G7" s="7" t="s">
        <v>22</v>
      </c>
      <c r="H7" s="2" t="s">
        <v>27</v>
      </c>
      <c r="I7" s="2">
        <v>9.8019999999999999E-3</v>
      </c>
      <c r="J7" s="2" t="s">
        <v>28</v>
      </c>
      <c r="K7" s="7" t="s">
        <v>29</v>
      </c>
      <c r="L7" s="5" t="s">
        <v>27</v>
      </c>
    </row>
    <row r="8" spans="1:12" ht="28.05" customHeight="1" x14ac:dyDescent="0.3">
      <c r="A8" s="6" t="s">
        <v>30</v>
      </c>
      <c r="B8" s="6" t="s">
        <v>31</v>
      </c>
      <c r="C8" s="6">
        <v>4</v>
      </c>
      <c r="D8" s="6">
        <v>30</v>
      </c>
      <c r="E8" s="6">
        <v>-4.0255419999999997</v>
      </c>
      <c r="F8" s="6">
        <v>0.57940000000000003</v>
      </c>
      <c r="G8" s="7" t="s">
        <v>22</v>
      </c>
      <c r="H8" s="6" t="s">
        <v>32</v>
      </c>
      <c r="I8" s="6">
        <v>-4.4697719999999999</v>
      </c>
      <c r="J8" s="6" t="s">
        <v>33</v>
      </c>
      <c r="K8" s="4" t="s">
        <v>19</v>
      </c>
      <c r="L8" s="5" t="s">
        <v>33</v>
      </c>
    </row>
    <row r="9" spans="1:12" ht="28.05" customHeight="1" x14ac:dyDescent="0.3">
      <c r="A9" s="2" t="s">
        <v>34</v>
      </c>
      <c r="B9" s="2" t="s">
        <v>35</v>
      </c>
      <c r="C9" s="2">
        <v>4</v>
      </c>
      <c r="D9" s="2">
        <v>20</v>
      </c>
      <c r="E9" s="2">
        <v>1088.859618</v>
      </c>
      <c r="F9" s="2">
        <v>0.66220000000000001</v>
      </c>
      <c r="G9" s="7" t="s">
        <v>22</v>
      </c>
      <c r="H9" s="2" t="s">
        <v>36</v>
      </c>
      <c r="I9" s="2">
        <v>788.19013900000004</v>
      </c>
      <c r="J9" s="2" t="s">
        <v>37</v>
      </c>
      <c r="K9" s="4" t="s">
        <v>19</v>
      </c>
      <c r="L9" s="5" t="s">
        <v>37</v>
      </c>
    </row>
    <row r="10" spans="1:12" ht="28.05" customHeight="1" x14ac:dyDescent="0.3">
      <c r="A10" s="6" t="s">
        <v>38</v>
      </c>
      <c r="B10" s="6" t="s">
        <v>39</v>
      </c>
      <c r="C10" s="6">
        <v>5</v>
      </c>
      <c r="D10" s="6">
        <v>20</v>
      </c>
      <c r="E10" s="6">
        <v>-0.71426500000000004</v>
      </c>
      <c r="F10" s="6">
        <v>0.64729999999999999</v>
      </c>
      <c r="G10" s="7" t="s">
        <v>22</v>
      </c>
      <c r="H10" s="6" t="s">
        <v>40</v>
      </c>
      <c r="I10" s="6">
        <v>-0.29705900000000002</v>
      </c>
      <c r="J10" s="6" t="s">
        <v>41</v>
      </c>
      <c r="K10" s="7" t="s">
        <v>29</v>
      </c>
      <c r="L10" s="5" t="s">
        <v>40</v>
      </c>
    </row>
    <row r="11" spans="1:12" ht="28.05" customHeight="1" x14ac:dyDescent="0.3">
      <c r="A11" s="2" t="s">
        <v>42</v>
      </c>
      <c r="B11" s="2" t="s">
        <v>43</v>
      </c>
      <c r="C11" s="2">
        <v>6</v>
      </c>
      <c r="D11" s="2">
        <v>30</v>
      </c>
      <c r="E11" s="2">
        <v>1.364968</v>
      </c>
      <c r="F11" s="2">
        <v>0.34620000000000001</v>
      </c>
      <c r="G11" s="7" t="s">
        <v>22</v>
      </c>
      <c r="H11" s="2" t="s">
        <v>44</v>
      </c>
      <c r="I11" s="2">
        <v>0.801817</v>
      </c>
      <c r="J11" s="2" t="s">
        <v>45</v>
      </c>
      <c r="K11" s="4" t="s">
        <v>19</v>
      </c>
      <c r="L11" s="5" t="s">
        <v>45</v>
      </c>
    </row>
    <row r="12" spans="1:12" ht="28.05" customHeight="1" x14ac:dyDescent="0.3">
      <c r="A12" s="6" t="s">
        <v>46</v>
      </c>
      <c r="B12" s="6" t="s">
        <v>47</v>
      </c>
      <c r="C12" s="6">
        <v>8</v>
      </c>
      <c r="D12" s="6">
        <v>40</v>
      </c>
      <c r="E12" s="6">
        <v>9.5984820000000006</v>
      </c>
      <c r="F12" s="6">
        <v>0.89900000000000002</v>
      </c>
      <c r="G12" s="7" t="s">
        <v>22</v>
      </c>
      <c r="H12" s="6" t="s">
        <v>48</v>
      </c>
      <c r="I12" s="6">
        <v>10.969517</v>
      </c>
      <c r="J12" s="6" t="s">
        <v>49</v>
      </c>
      <c r="K12" s="7" t="s">
        <v>29</v>
      </c>
      <c r="L12" s="5" t="s">
        <v>48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showGridLines="0" tabSelected="1" workbookViewId="0">
      <selection activeCell="G17" sqref="G17"/>
    </sheetView>
  </sheetViews>
  <sheetFormatPr defaultRowHeight="14.4" x14ac:dyDescent="0.3"/>
  <cols>
    <col min="1" max="1" width="5" customWidth="1"/>
    <col min="2" max="2" width="26" customWidth="1"/>
    <col min="3" max="3" width="7" customWidth="1"/>
    <col min="4" max="12" width="12" customWidth="1"/>
    <col min="13" max="13" width="50" customWidth="1"/>
  </cols>
  <sheetData>
    <row r="1" spans="1:14" ht="28.05" customHeight="1" x14ac:dyDescent="0.3">
      <c r="A1" s="30" t="s">
        <v>50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6.05" customHeight="1" x14ac:dyDescent="0.3">
      <c r="A2" s="28" t="s">
        <v>51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7.95" customHeight="1" x14ac:dyDescent="0.3"/>
    <row r="4" spans="1:14" ht="22.05" customHeight="1" x14ac:dyDescent="0.3">
      <c r="A4" s="8" t="s">
        <v>2</v>
      </c>
      <c r="B4" s="8" t="s">
        <v>3</v>
      </c>
      <c r="C4" s="8" t="s">
        <v>7</v>
      </c>
      <c r="D4" s="8" t="s">
        <v>52</v>
      </c>
      <c r="E4" s="8" t="s">
        <v>53</v>
      </c>
      <c r="F4" s="8" t="s">
        <v>54</v>
      </c>
      <c r="G4" s="8" t="s">
        <v>55</v>
      </c>
      <c r="H4" s="8" t="s">
        <v>56</v>
      </c>
      <c r="I4" s="8" t="s">
        <v>57</v>
      </c>
      <c r="J4" s="8" t="s">
        <v>58</v>
      </c>
      <c r="K4" s="8" t="s">
        <v>59</v>
      </c>
      <c r="L4" s="8" t="s">
        <v>60</v>
      </c>
      <c r="M4" s="8" t="s">
        <v>61</v>
      </c>
    </row>
    <row r="5" spans="1:14" ht="19.95" customHeight="1" x14ac:dyDescent="0.3">
      <c r="A5" s="2" t="s">
        <v>14</v>
      </c>
      <c r="B5" s="9" t="s">
        <v>15</v>
      </c>
      <c r="C5" s="3">
        <v>3.6499999999999998E-2</v>
      </c>
      <c r="D5" s="2">
        <v>-3.6099999999999999E-4</v>
      </c>
      <c r="E5" s="10">
        <v>-1.02E-4</v>
      </c>
      <c r="F5" s="10">
        <v>-1.5100000000000001E-4</v>
      </c>
      <c r="G5" s="11" t="s">
        <v>62</v>
      </c>
      <c r="H5" s="11" t="s">
        <v>62</v>
      </c>
      <c r="I5" s="11" t="s">
        <v>62</v>
      </c>
      <c r="J5" s="11" t="s">
        <v>62</v>
      </c>
      <c r="K5" s="11" t="s">
        <v>62</v>
      </c>
      <c r="L5" s="11" t="s">
        <v>62</v>
      </c>
      <c r="M5" s="12" t="s">
        <v>63</v>
      </c>
    </row>
    <row r="6" spans="1:14" ht="19.95" customHeight="1" x14ac:dyDescent="0.3">
      <c r="A6" s="6" t="s">
        <v>20</v>
      </c>
      <c r="B6" s="13" t="s">
        <v>21</v>
      </c>
      <c r="C6" s="7">
        <v>0.56910000000000005</v>
      </c>
      <c r="D6" s="6">
        <v>0.23067399999999999</v>
      </c>
      <c r="E6" s="7">
        <v>0.179594</v>
      </c>
      <c r="F6" s="10">
        <v>-1.7329000000000001E-2</v>
      </c>
      <c r="G6" s="11" t="s">
        <v>62</v>
      </c>
      <c r="H6" s="11" t="s">
        <v>62</v>
      </c>
      <c r="I6" s="11" t="s">
        <v>62</v>
      </c>
      <c r="J6" s="11" t="s">
        <v>62</v>
      </c>
      <c r="K6" s="11" t="s">
        <v>62</v>
      </c>
      <c r="L6" s="11" t="s">
        <v>62</v>
      </c>
      <c r="M6" s="12" t="s">
        <v>64</v>
      </c>
    </row>
    <row r="7" spans="1:14" ht="19.95" customHeight="1" x14ac:dyDescent="0.3">
      <c r="A7" s="2" t="s">
        <v>25</v>
      </c>
      <c r="B7" s="9" t="s">
        <v>26</v>
      </c>
      <c r="C7" s="7">
        <v>0.36809999999999998</v>
      </c>
      <c r="D7" s="2">
        <v>-0.107167</v>
      </c>
      <c r="E7" s="7">
        <v>1.8023000000000001E-2</v>
      </c>
      <c r="F7" s="10">
        <v>-8.6090000000000003E-3</v>
      </c>
      <c r="G7" s="10">
        <v>-4.8542000000000002E-2</v>
      </c>
      <c r="H7" s="11" t="s">
        <v>62</v>
      </c>
      <c r="I7" s="11" t="s">
        <v>62</v>
      </c>
      <c r="J7" s="11" t="s">
        <v>62</v>
      </c>
      <c r="K7" s="11" t="s">
        <v>62</v>
      </c>
      <c r="L7" s="11" t="s">
        <v>62</v>
      </c>
      <c r="M7" s="12" t="s">
        <v>65</v>
      </c>
    </row>
    <row r="8" spans="1:14" ht="19.95" customHeight="1" x14ac:dyDescent="0.3">
      <c r="A8" s="6" t="s">
        <v>30</v>
      </c>
      <c r="B8" s="13" t="s">
        <v>31</v>
      </c>
      <c r="C8" s="7">
        <v>0.57940000000000003</v>
      </c>
      <c r="D8" s="6">
        <v>-17.238586999999999</v>
      </c>
      <c r="E8" s="10">
        <v>-2.5164019999999998</v>
      </c>
      <c r="F8" s="10">
        <v>-2.2738749999999999</v>
      </c>
      <c r="G8" s="10">
        <v>-0.60090699999999997</v>
      </c>
      <c r="H8" s="10">
        <v>-2.9212760000000002</v>
      </c>
      <c r="I8" s="11" t="s">
        <v>62</v>
      </c>
      <c r="J8" s="11" t="s">
        <v>62</v>
      </c>
      <c r="K8" s="11" t="s">
        <v>62</v>
      </c>
      <c r="L8" s="11" t="s">
        <v>62</v>
      </c>
      <c r="M8" s="12" t="s">
        <v>66</v>
      </c>
    </row>
    <row r="9" spans="1:14" ht="19.95" customHeight="1" x14ac:dyDescent="0.3">
      <c r="A9" s="2" t="s">
        <v>34</v>
      </c>
      <c r="B9" s="9" t="s">
        <v>35</v>
      </c>
      <c r="C9" s="7">
        <v>0.66220000000000001</v>
      </c>
      <c r="D9" s="2">
        <v>151.27187599999999</v>
      </c>
      <c r="E9" s="10">
        <v>-43.469563000000001</v>
      </c>
      <c r="F9" s="7">
        <v>69.023688000000007</v>
      </c>
      <c r="G9" s="7">
        <v>113.21845999999999</v>
      </c>
      <c r="H9" s="7">
        <v>143.521333</v>
      </c>
      <c r="I9" s="11" t="s">
        <v>62</v>
      </c>
      <c r="J9" s="11" t="s">
        <v>62</v>
      </c>
      <c r="K9" s="11" t="s">
        <v>62</v>
      </c>
      <c r="L9" s="11" t="s">
        <v>62</v>
      </c>
      <c r="M9" s="12" t="s">
        <v>67</v>
      </c>
    </row>
    <row r="10" spans="1:14" ht="19.95" customHeight="1" x14ac:dyDescent="0.3">
      <c r="A10" s="6" t="s">
        <v>38</v>
      </c>
      <c r="B10" s="13" t="s">
        <v>39</v>
      </c>
      <c r="C10" s="7">
        <v>0.64729999999999999</v>
      </c>
      <c r="D10" s="6">
        <v>-1.49539</v>
      </c>
      <c r="E10" s="10">
        <v>-0.13004599999999999</v>
      </c>
      <c r="F10" s="10">
        <v>-0.13797000000000001</v>
      </c>
      <c r="G10" s="7">
        <v>9.3884999999999996E-2</v>
      </c>
      <c r="H10" s="7">
        <v>0.171704</v>
      </c>
      <c r="I10" s="10">
        <v>-0.24384600000000001</v>
      </c>
      <c r="J10" s="11" t="s">
        <v>62</v>
      </c>
      <c r="K10" s="11" t="s">
        <v>62</v>
      </c>
      <c r="L10" s="11" t="s">
        <v>62</v>
      </c>
      <c r="M10" s="12" t="s">
        <v>68</v>
      </c>
    </row>
    <row r="11" spans="1:14" ht="19.95" customHeight="1" x14ac:dyDescent="0.3">
      <c r="A11" s="2" t="s">
        <v>42</v>
      </c>
      <c r="B11" s="9" t="s">
        <v>43</v>
      </c>
      <c r="C11" s="7">
        <v>0.34620000000000001</v>
      </c>
      <c r="D11" s="2">
        <v>0.219607</v>
      </c>
      <c r="E11" s="10">
        <v>-8.2905999999999994E-2</v>
      </c>
      <c r="F11" s="7">
        <v>4.4344000000000001E-2</v>
      </c>
      <c r="G11" s="7">
        <v>2.61E-4</v>
      </c>
      <c r="H11" s="10">
        <v>-3.9417000000000001E-2</v>
      </c>
      <c r="I11" s="10">
        <v>-0.13576099999999999</v>
      </c>
      <c r="J11" s="7">
        <v>6.3975000000000004E-2</v>
      </c>
      <c r="K11" s="11" t="s">
        <v>62</v>
      </c>
      <c r="L11" s="11" t="s">
        <v>62</v>
      </c>
      <c r="M11" s="12" t="s">
        <v>69</v>
      </c>
    </row>
    <row r="12" spans="1:14" ht="19.95" customHeight="1" x14ac:dyDescent="0.3">
      <c r="A12" s="6" t="s">
        <v>46</v>
      </c>
      <c r="B12" s="13" t="s">
        <v>47</v>
      </c>
      <c r="C12" s="7">
        <v>0.89900000000000002</v>
      </c>
      <c r="D12" s="6">
        <v>7.8152739999999996</v>
      </c>
      <c r="E12" s="10">
        <v>-0.49084499999999998</v>
      </c>
      <c r="F12" s="10">
        <v>-0.17438699999999999</v>
      </c>
      <c r="G12" s="10">
        <v>-0.63185100000000005</v>
      </c>
      <c r="H12" s="10">
        <v>-0.10033300000000001</v>
      </c>
      <c r="I12" s="7">
        <v>3.5526000000000002E-2</v>
      </c>
      <c r="J12" s="10">
        <v>-1.3965E-2</v>
      </c>
      <c r="K12" s="10">
        <v>-0.36701899999999998</v>
      </c>
      <c r="L12" s="7">
        <v>5.6082E-2</v>
      </c>
      <c r="M12" s="12" t="s">
        <v>70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showGridLines="0" workbookViewId="0">
      <selection activeCell="D5" sqref="D5:D14"/>
    </sheetView>
  </sheetViews>
  <sheetFormatPr defaultRowHeight="14.4" x14ac:dyDescent="0.3"/>
  <cols>
    <col min="1" max="1" width="8" customWidth="1"/>
    <col min="2" max="3" width="15" customWidth="1"/>
    <col min="4" max="4" width="18" customWidth="1"/>
  </cols>
  <sheetData>
    <row r="1" spans="1:4" ht="24" customHeight="1" x14ac:dyDescent="0.3">
      <c r="A1" s="32" t="s">
        <v>71</v>
      </c>
      <c r="B1" s="29"/>
      <c r="C1" s="29"/>
      <c r="D1" s="29"/>
    </row>
    <row r="2" spans="1:4" ht="7.95" customHeight="1" x14ac:dyDescent="0.3"/>
    <row r="3" spans="1:4" ht="18" customHeight="1" x14ac:dyDescent="0.3">
      <c r="A3" s="33" t="s">
        <v>72</v>
      </c>
      <c r="B3" s="29"/>
      <c r="C3" s="29"/>
      <c r="D3" s="29"/>
    </row>
    <row r="4" spans="1:4" ht="18" customHeight="1" x14ac:dyDescent="0.3">
      <c r="A4" s="8" t="s">
        <v>73</v>
      </c>
      <c r="B4" s="8" t="s">
        <v>74</v>
      </c>
      <c r="C4" s="8" t="s">
        <v>75</v>
      </c>
      <c r="D4" s="14" t="s">
        <v>76</v>
      </c>
    </row>
    <row r="5" spans="1:4" ht="15" customHeight="1" x14ac:dyDescent="0.3">
      <c r="A5" s="15">
        <v>1</v>
      </c>
      <c r="B5" s="16">
        <v>0.31940400000000002</v>
      </c>
      <c r="C5" s="16">
        <v>0.76295900000000005</v>
      </c>
      <c r="D5" s="17">
        <v>0</v>
      </c>
    </row>
    <row r="6" spans="1:4" ht="15" customHeight="1" x14ac:dyDescent="0.3">
      <c r="A6" s="15">
        <v>2</v>
      </c>
      <c r="B6" s="16">
        <v>0.57432899999999998</v>
      </c>
      <c r="C6" s="16">
        <v>0.87989799999999996</v>
      </c>
      <c r="D6" s="17">
        <v>0</v>
      </c>
    </row>
    <row r="7" spans="1:4" ht="15" customHeight="1" x14ac:dyDescent="0.3">
      <c r="A7" s="15">
        <v>3</v>
      </c>
      <c r="B7" s="16">
        <v>0.73102400000000001</v>
      </c>
      <c r="C7" s="16">
        <v>0.73299999999999998</v>
      </c>
      <c r="D7" s="17">
        <v>0</v>
      </c>
    </row>
    <row r="8" spans="1:4" ht="15" customHeight="1" x14ac:dyDescent="0.3">
      <c r="A8" s="15">
        <v>4</v>
      </c>
      <c r="B8" s="16">
        <v>0.84035300000000002</v>
      </c>
      <c r="C8" s="16">
        <v>0.26473200000000002</v>
      </c>
      <c r="D8" s="17">
        <v>0</v>
      </c>
    </row>
    <row r="9" spans="1:4" ht="15" customHeight="1" x14ac:dyDescent="0.3">
      <c r="A9" s="6">
        <v>5</v>
      </c>
      <c r="B9" s="18">
        <v>0.65011399999999997</v>
      </c>
      <c r="C9" s="18">
        <v>0.68152599999999997</v>
      </c>
      <c r="D9" s="19">
        <v>-3.6059999999999998E-3</v>
      </c>
    </row>
    <row r="10" spans="1:4" ht="15" customHeight="1" x14ac:dyDescent="0.3">
      <c r="A10" s="15">
        <v>6</v>
      </c>
      <c r="B10" s="16">
        <v>0.410437</v>
      </c>
      <c r="C10" s="16">
        <v>0.14755399999999999</v>
      </c>
      <c r="D10" s="17">
        <v>0</v>
      </c>
    </row>
    <row r="11" spans="1:4" ht="15" customHeight="1" x14ac:dyDescent="0.3">
      <c r="A11" s="15">
        <v>7</v>
      </c>
      <c r="B11" s="16">
        <v>0.312691</v>
      </c>
      <c r="C11" s="16">
        <v>7.8723000000000001E-2</v>
      </c>
      <c r="D11" s="17">
        <v>0</v>
      </c>
    </row>
    <row r="12" spans="1:4" ht="15" customHeight="1" x14ac:dyDescent="0.3">
      <c r="A12" s="15">
        <v>8</v>
      </c>
      <c r="B12" s="16">
        <v>0.68341799999999997</v>
      </c>
      <c r="C12" s="16">
        <v>0.86105699999999996</v>
      </c>
      <c r="D12" s="17">
        <v>0</v>
      </c>
    </row>
    <row r="13" spans="1:4" ht="15" customHeight="1" x14ac:dyDescent="0.3">
      <c r="A13" s="15">
        <v>9</v>
      </c>
      <c r="B13" s="16">
        <v>8.2506999999999997E-2</v>
      </c>
      <c r="C13" s="16">
        <v>0.40348800000000001</v>
      </c>
      <c r="D13" s="17">
        <v>0</v>
      </c>
    </row>
    <row r="14" spans="1:4" ht="15" customHeight="1" x14ac:dyDescent="0.3">
      <c r="A14" s="15">
        <v>10</v>
      </c>
      <c r="B14" s="16">
        <v>0.88388999999999995</v>
      </c>
      <c r="C14" s="16">
        <v>0.58225400000000005</v>
      </c>
      <c r="D14" s="17">
        <v>0</v>
      </c>
    </row>
    <row r="17" spans="1:5" ht="18" customHeight="1" x14ac:dyDescent="0.3">
      <c r="A17" s="33" t="s">
        <v>77</v>
      </c>
      <c r="B17" s="29"/>
      <c r="C17" s="29"/>
      <c r="D17" s="29"/>
    </row>
    <row r="18" spans="1:5" ht="18" customHeight="1" x14ac:dyDescent="0.3">
      <c r="A18" s="20" t="s">
        <v>53</v>
      </c>
      <c r="B18" s="20" t="s">
        <v>54</v>
      </c>
      <c r="C18" s="20" t="s">
        <v>7</v>
      </c>
    </row>
    <row r="19" spans="1:5" ht="18" customHeight="1" x14ac:dyDescent="0.3">
      <c r="A19" s="10">
        <v>-1.02E-4</v>
      </c>
      <c r="B19" s="10">
        <v>-1.5100000000000001E-4</v>
      </c>
      <c r="C19" s="3">
        <v>3.6499999999999998E-2</v>
      </c>
    </row>
    <row r="20" spans="1:5" ht="18" customHeight="1" x14ac:dyDescent="0.3">
      <c r="A20" s="21" t="s">
        <v>78</v>
      </c>
      <c r="B20" s="21" t="s">
        <v>78</v>
      </c>
      <c r="C20" s="22" t="s">
        <v>79</v>
      </c>
    </row>
    <row r="22" spans="1:5" ht="18" customHeight="1" x14ac:dyDescent="0.3">
      <c r="A22" s="31" t="s">
        <v>80</v>
      </c>
      <c r="B22" s="29"/>
      <c r="C22" s="29"/>
      <c r="D22" s="29"/>
    </row>
    <row r="23" spans="1:5" ht="18" customHeight="1" x14ac:dyDescent="0.3">
      <c r="A23" s="20" t="s">
        <v>12</v>
      </c>
      <c r="B23" s="20" t="s">
        <v>81</v>
      </c>
      <c r="C23" s="20" t="s">
        <v>82</v>
      </c>
      <c r="D23" s="20" t="s">
        <v>83</v>
      </c>
      <c r="E23" s="20" t="s">
        <v>84</v>
      </c>
    </row>
    <row r="24" spans="1:5" ht="18" customHeight="1" x14ac:dyDescent="0.3">
      <c r="A24" s="2" t="s">
        <v>29</v>
      </c>
      <c r="B24" s="2" t="s">
        <v>17</v>
      </c>
      <c r="C24" s="2">
        <v>1.1E-4</v>
      </c>
      <c r="D24" s="2" t="s">
        <v>85</v>
      </c>
      <c r="E24" s="23"/>
    </row>
    <row r="25" spans="1:5" ht="18" customHeight="1" x14ac:dyDescent="0.3">
      <c r="A25" s="7" t="s">
        <v>19</v>
      </c>
      <c r="B25" s="7" t="s">
        <v>18</v>
      </c>
      <c r="C25" s="7" t="s">
        <v>86</v>
      </c>
      <c r="D25" s="7" t="s">
        <v>86</v>
      </c>
      <c r="E25" s="7" t="s">
        <v>87</v>
      </c>
    </row>
  </sheetData>
  <mergeCells count="4">
    <mergeCell ref="A22:D22"/>
    <mergeCell ref="A1:D1"/>
    <mergeCell ref="A17:D17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showGridLines="0" workbookViewId="0">
      <selection activeCell="D5" sqref="D5:D14"/>
    </sheetView>
  </sheetViews>
  <sheetFormatPr defaultRowHeight="14.4" x14ac:dyDescent="0.3"/>
  <cols>
    <col min="1" max="1" width="8" customWidth="1"/>
    <col min="2" max="3" width="15" customWidth="1"/>
    <col min="4" max="4" width="18" customWidth="1"/>
  </cols>
  <sheetData>
    <row r="1" spans="1:4" ht="24" customHeight="1" x14ac:dyDescent="0.3">
      <c r="A1" s="32" t="s">
        <v>88</v>
      </c>
      <c r="B1" s="29"/>
      <c r="C1" s="29"/>
      <c r="D1" s="29"/>
    </row>
    <row r="2" spans="1:4" ht="7.95" customHeight="1" x14ac:dyDescent="0.3"/>
    <row r="3" spans="1:4" ht="18" customHeight="1" x14ac:dyDescent="0.3">
      <c r="A3" s="33" t="s">
        <v>72</v>
      </c>
      <c r="B3" s="29"/>
      <c r="C3" s="29"/>
      <c r="D3" s="29"/>
    </row>
    <row r="4" spans="1:4" ht="18" customHeight="1" x14ac:dyDescent="0.3">
      <c r="A4" s="8" t="s">
        <v>73</v>
      </c>
      <c r="B4" s="8" t="s">
        <v>74</v>
      </c>
      <c r="C4" s="8" t="s">
        <v>75</v>
      </c>
      <c r="D4" s="14" t="s">
        <v>76</v>
      </c>
    </row>
    <row r="5" spans="1:4" ht="15" customHeight="1" x14ac:dyDescent="0.3">
      <c r="A5" s="6">
        <v>1</v>
      </c>
      <c r="B5" s="18">
        <v>0.66579999999999995</v>
      </c>
      <c r="C5" s="18">
        <v>0.123969</v>
      </c>
      <c r="D5" s="24">
        <v>0.53899600000000003</v>
      </c>
    </row>
    <row r="6" spans="1:4" ht="15" customHeight="1" x14ac:dyDescent="0.3">
      <c r="A6" s="2">
        <v>2</v>
      </c>
      <c r="B6" s="25">
        <v>0.87779099999999999</v>
      </c>
      <c r="C6" s="25">
        <v>0.77862799999999999</v>
      </c>
      <c r="D6" s="26">
        <v>0.42058600000000002</v>
      </c>
    </row>
    <row r="7" spans="1:4" ht="15" customHeight="1" x14ac:dyDescent="0.3">
      <c r="A7" s="6">
        <v>3</v>
      </c>
      <c r="B7" s="18">
        <v>0.14269899999999999</v>
      </c>
      <c r="C7" s="18">
        <v>0.34900500000000001</v>
      </c>
      <c r="D7" s="19">
        <v>-6.5624000000000002E-2</v>
      </c>
    </row>
    <row r="8" spans="1:4" ht="15" customHeight="1" x14ac:dyDescent="0.3">
      <c r="A8" s="2">
        <v>4</v>
      </c>
      <c r="B8" s="25">
        <v>0.845275</v>
      </c>
      <c r="C8" s="25">
        <v>0.71111999999999997</v>
      </c>
      <c r="D8" s="26">
        <v>0.293993</v>
      </c>
    </row>
    <row r="9" spans="1:4" ht="15" customHeight="1" x14ac:dyDescent="0.3">
      <c r="A9" s="6">
        <v>5</v>
      </c>
      <c r="B9" s="18">
        <v>0.45464700000000002</v>
      </c>
      <c r="C9" s="18">
        <v>0.29045500000000002</v>
      </c>
      <c r="D9" s="19">
        <v>0.21496499999999999</v>
      </c>
    </row>
    <row r="10" spans="1:4" ht="15" customHeight="1" x14ac:dyDescent="0.3">
      <c r="A10" s="2">
        <v>6</v>
      </c>
      <c r="B10" s="25">
        <v>0.57771300000000003</v>
      </c>
      <c r="C10" s="25">
        <v>0.77197300000000002</v>
      </c>
      <c r="D10" s="19">
        <v>2.3106000000000002E-2</v>
      </c>
    </row>
    <row r="11" spans="1:4" ht="15" customHeight="1" x14ac:dyDescent="0.3">
      <c r="A11" s="6">
        <v>7</v>
      </c>
      <c r="B11" s="18">
        <v>0.438166</v>
      </c>
      <c r="C11" s="18">
        <v>0.68501800000000002</v>
      </c>
      <c r="D11" s="24">
        <v>0.244619</v>
      </c>
    </row>
    <row r="12" spans="1:4" ht="15" customHeight="1" x14ac:dyDescent="0.3">
      <c r="A12" s="2">
        <v>8</v>
      </c>
      <c r="B12" s="25">
        <v>0.34175</v>
      </c>
      <c r="C12" s="25">
        <v>2.8698000000000001E-2</v>
      </c>
      <c r="D12" s="19">
        <v>3.8748999999999999E-2</v>
      </c>
    </row>
    <row r="13" spans="1:4" ht="15" customHeight="1" x14ac:dyDescent="0.3">
      <c r="A13" s="6">
        <v>9</v>
      </c>
      <c r="B13" s="18">
        <v>0.338648</v>
      </c>
      <c r="C13" s="18">
        <v>0.213867</v>
      </c>
      <c r="D13" s="19">
        <v>-1.3858000000000001E-2</v>
      </c>
    </row>
    <row r="14" spans="1:4" ht="15" customHeight="1" x14ac:dyDescent="0.3">
      <c r="A14" s="15">
        <v>10</v>
      </c>
      <c r="B14" s="16">
        <v>0.70263699999999996</v>
      </c>
      <c r="C14" s="16">
        <v>0.92656400000000005</v>
      </c>
      <c r="D14" s="17">
        <v>0.611205</v>
      </c>
    </row>
    <row r="17" spans="1:5" ht="18" customHeight="1" x14ac:dyDescent="0.3">
      <c r="A17" s="33" t="s">
        <v>77</v>
      </c>
      <c r="B17" s="29"/>
      <c r="C17" s="29"/>
      <c r="D17" s="29"/>
    </row>
    <row r="18" spans="1:5" ht="18" customHeight="1" x14ac:dyDescent="0.3">
      <c r="A18" s="20" t="s">
        <v>53</v>
      </c>
      <c r="B18" s="20" t="s">
        <v>54</v>
      </c>
      <c r="C18" s="20" t="s">
        <v>7</v>
      </c>
    </row>
    <row r="19" spans="1:5" ht="18" customHeight="1" x14ac:dyDescent="0.3">
      <c r="A19" s="7">
        <v>0.179594</v>
      </c>
      <c r="B19" s="10">
        <v>-1.7329000000000001E-2</v>
      </c>
      <c r="C19" s="7">
        <v>0.56910000000000005</v>
      </c>
    </row>
    <row r="20" spans="1:5" ht="18" customHeight="1" x14ac:dyDescent="0.3">
      <c r="A20" s="27" t="s">
        <v>89</v>
      </c>
      <c r="B20" s="21" t="s">
        <v>78</v>
      </c>
      <c r="C20" s="27" t="s">
        <v>90</v>
      </c>
    </row>
    <row r="22" spans="1:5" ht="18" customHeight="1" x14ac:dyDescent="0.3">
      <c r="A22" s="31" t="s">
        <v>80</v>
      </c>
      <c r="B22" s="29"/>
      <c r="C22" s="29"/>
      <c r="D22" s="29"/>
    </row>
    <row r="23" spans="1:5" ht="18" customHeight="1" x14ac:dyDescent="0.3">
      <c r="A23" s="20" t="s">
        <v>12</v>
      </c>
      <c r="B23" s="20" t="s">
        <v>81</v>
      </c>
      <c r="C23" s="20" t="s">
        <v>82</v>
      </c>
      <c r="D23" s="20" t="s">
        <v>83</v>
      </c>
      <c r="E23" s="20" t="s">
        <v>84</v>
      </c>
    </row>
    <row r="24" spans="1:5" ht="18" customHeight="1" x14ac:dyDescent="0.3">
      <c r="A24" s="2" t="s">
        <v>29</v>
      </c>
      <c r="B24" s="2" t="s">
        <v>23</v>
      </c>
      <c r="C24" s="2">
        <v>0.58407600000000004</v>
      </c>
      <c r="D24" s="2" t="s">
        <v>91</v>
      </c>
      <c r="E24" s="23"/>
    </row>
    <row r="25" spans="1:5" ht="18" customHeight="1" x14ac:dyDescent="0.3">
      <c r="A25" s="7" t="s">
        <v>19</v>
      </c>
      <c r="B25" s="7" t="s">
        <v>24</v>
      </c>
      <c r="C25" s="7" t="s">
        <v>86</v>
      </c>
      <c r="D25" s="7" t="s">
        <v>86</v>
      </c>
      <c r="E25" s="7" t="s">
        <v>87</v>
      </c>
    </row>
  </sheetData>
  <mergeCells count="4">
    <mergeCell ref="A22:D22"/>
    <mergeCell ref="A1:D1"/>
    <mergeCell ref="A17:D17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showGridLines="0" workbookViewId="0">
      <selection activeCell="J15" sqref="J15"/>
    </sheetView>
  </sheetViews>
  <sheetFormatPr defaultRowHeight="14.4" x14ac:dyDescent="0.3"/>
  <cols>
    <col min="1" max="1" width="8" customWidth="1"/>
    <col min="2" max="4" width="15" customWidth="1"/>
    <col min="5" max="5" width="18" customWidth="1"/>
  </cols>
  <sheetData>
    <row r="1" spans="1:5" ht="24" customHeight="1" x14ac:dyDescent="0.3">
      <c r="A1" s="32" t="s">
        <v>92</v>
      </c>
      <c r="B1" s="29"/>
      <c r="C1" s="29"/>
      <c r="D1" s="29"/>
      <c r="E1" s="29"/>
    </row>
    <row r="2" spans="1:5" ht="7.95" customHeight="1" x14ac:dyDescent="0.3"/>
    <row r="3" spans="1:5" ht="18" customHeight="1" x14ac:dyDescent="0.3">
      <c r="A3" s="33" t="s">
        <v>72</v>
      </c>
      <c r="B3" s="29"/>
      <c r="C3" s="29"/>
      <c r="D3" s="29"/>
      <c r="E3" s="29"/>
    </row>
    <row r="4" spans="1:5" ht="18" customHeight="1" x14ac:dyDescent="0.3">
      <c r="A4" s="8" t="s">
        <v>73</v>
      </c>
      <c r="B4" s="8" t="s">
        <v>74</v>
      </c>
      <c r="C4" s="8" t="s">
        <v>75</v>
      </c>
      <c r="D4" s="8" t="s">
        <v>93</v>
      </c>
      <c r="E4" s="14" t="s">
        <v>76</v>
      </c>
    </row>
    <row r="5" spans="1:5" ht="15" customHeight="1" x14ac:dyDescent="0.3">
      <c r="A5" s="6">
        <v>1</v>
      </c>
      <c r="B5" s="18">
        <v>0.17152500000000001</v>
      </c>
      <c r="C5" s="18">
        <v>0.34391699999999997</v>
      </c>
      <c r="D5" s="18">
        <v>0.24873700000000001</v>
      </c>
      <c r="E5" s="19">
        <v>-0.112122</v>
      </c>
    </row>
    <row r="6" spans="1:5" ht="15" customHeight="1" x14ac:dyDescent="0.3">
      <c r="A6" s="2">
        <v>2</v>
      </c>
      <c r="B6" s="25">
        <v>0.242114</v>
      </c>
      <c r="C6" s="25">
        <v>0.64407400000000004</v>
      </c>
      <c r="D6" s="25">
        <v>0.27243299999999998</v>
      </c>
      <c r="E6" s="26">
        <v>-8.7963E-2</v>
      </c>
    </row>
    <row r="7" spans="1:5" ht="15" customHeight="1" x14ac:dyDescent="0.3">
      <c r="A7" s="6">
        <v>3</v>
      </c>
      <c r="B7" s="18">
        <v>0.53490599999999999</v>
      </c>
      <c r="C7" s="18">
        <v>0.39850099999999999</v>
      </c>
      <c r="D7" s="18">
        <v>0.17338899999999999</v>
      </c>
      <c r="E7" s="19">
        <v>-0.111415</v>
      </c>
    </row>
    <row r="8" spans="1:5" ht="15" customHeight="1" x14ac:dyDescent="0.3">
      <c r="A8" s="15">
        <v>4</v>
      </c>
      <c r="B8" s="16">
        <v>0.49258099999999999</v>
      </c>
      <c r="C8" s="16">
        <v>0.61159300000000005</v>
      </c>
      <c r="D8" s="16">
        <v>0.34017599999999998</v>
      </c>
      <c r="E8" s="17">
        <v>-3.4834999999999998E-2</v>
      </c>
    </row>
    <row r="9" spans="1:5" ht="15" customHeight="1" x14ac:dyDescent="0.3">
      <c r="A9" s="6">
        <v>5</v>
      </c>
      <c r="B9" s="18">
        <v>0.13462199999999999</v>
      </c>
      <c r="C9" s="18">
        <v>0.219917</v>
      </c>
      <c r="D9" s="18">
        <v>0.458206</v>
      </c>
      <c r="E9" s="24">
        <v>-4.8008000000000002E-2</v>
      </c>
    </row>
    <row r="10" spans="1:5" ht="15" customHeight="1" x14ac:dyDescent="0.3">
      <c r="A10" s="2">
        <v>6</v>
      </c>
      <c r="B10" s="25">
        <v>0.34552300000000002</v>
      </c>
      <c r="C10" s="25">
        <v>0.94135999999999997</v>
      </c>
      <c r="D10" s="25">
        <v>0.26936300000000002</v>
      </c>
      <c r="E10" s="19">
        <v>-0.110621</v>
      </c>
    </row>
    <row r="11" spans="1:5" ht="15" customHeight="1" x14ac:dyDescent="0.3">
      <c r="A11" s="6">
        <v>7</v>
      </c>
      <c r="B11" s="18">
        <v>0.151837</v>
      </c>
      <c r="C11" s="18">
        <v>0.43999100000000002</v>
      </c>
      <c r="D11" s="18">
        <v>0.99088200000000004</v>
      </c>
      <c r="E11" s="19">
        <v>-0.398926</v>
      </c>
    </row>
    <row r="12" spans="1:5" ht="15" customHeight="1" x14ac:dyDescent="0.3">
      <c r="A12" s="2">
        <v>8</v>
      </c>
      <c r="B12" s="25">
        <v>0.64550300000000005</v>
      </c>
      <c r="C12" s="25">
        <v>0.39714300000000002</v>
      </c>
      <c r="D12" s="25">
        <v>0.91977100000000001</v>
      </c>
      <c r="E12" s="19">
        <v>-0.113869</v>
      </c>
    </row>
    <row r="13" spans="1:5" ht="15" customHeight="1" x14ac:dyDescent="0.3">
      <c r="A13" s="6">
        <v>9</v>
      </c>
      <c r="B13" s="18">
        <v>0.74691200000000002</v>
      </c>
      <c r="C13" s="18">
        <v>0.284196</v>
      </c>
      <c r="D13" s="18">
        <v>0.2263</v>
      </c>
      <c r="E13" s="19">
        <v>-0.13146099999999999</v>
      </c>
    </row>
    <row r="14" spans="1:5" ht="15" customHeight="1" x14ac:dyDescent="0.3">
      <c r="A14" s="2">
        <v>10</v>
      </c>
      <c r="B14" s="25">
        <v>0.17047699999999999</v>
      </c>
      <c r="C14" s="25">
        <v>0.69703199999999998</v>
      </c>
      <c r="D14" s="25">
        <v>0.149169</v>
      </c>
      <c r="E14" s="26">
        <v>-9.4189999999999996E-2</v>
      </c>
    </row>
    <row r="15" spans="1:5" ht="15" customHeight="1" x14ac:dyDescent="0.3">
      <c r="A15" s="6">
        <v>11</v>
      </c>
      <c r="B15" s="18">
        <v>0.220549</v>
      </c>
      <c r="C15" s="18">
        <v>0.29782500000000001</v>
      </c>
      <c r="D15" s="18">
        <v>0.343555</v>
      </c>
      <c r="E15" s="24">
        <v>-4.6947000000000003E-2</v>
      </c>
    </row>
    <row r="16" spans="1:5" ht="15" customHeight="1" x14ac:dyDescent="0.3">
      <c r="A16" s="2">
        <v>12</v>
      </c>
      <c r="B16" s="25">
        <v>0.66601399999999999</v>
      </c>
      <c r="C16" s="25">
        <v>0.67198500000000005</v>
      </c>
      <c r="D16" s="25">
        <v>0.24629499999999999</v>
      </c>
      <c r="E16" s="26">
        <v>-0.105965</v>
      </c>
    </row>
    <row r="17" spans="1:5" ht="15" customHeight="1" x14ac:dyDescent="0.3">
      <c r="A17" s="6">
        <v>13</v>
      </c>
      <c r="B17" s="18">
        <v>4.6809000000000003E-2</v>
      </c>
      <c r="C17" s="18">
        <v>0.23136000000000001</v>
      </c>
      <c r="D17" s="18">
        <v>0.77061800000000003</v>
      </c>
      <c r="E17" s="19">
        <v>-0.118048</v>
      </c>
    </row>
    <row r="18" spans="1:5" ht="15" customHeight="1" x14ac:dyDescent="0.3">
      <c r="A18" s="2">
        <v>14</v>
      </c>
      <c r="B18" s="25">
        <v>0.60009699999999999</v>
      </c>
      <c r="C18" s="25">
        <v>0.725136</v>
      </c>
      <c r="D18" s="25">
        <v>6.6088999999999995E-2</v>
      </c>
      <c r="E18" s="26">
        <v>-3.6378000000000001E-2</v>
      </c>
    </row>
    <row r="19" spans="1:5" ht="15" customHeight="1" x14ac:dyDescent="0.3">
      <c r="A19" s="6">
        <v>15</v>
      </c>
      <c r="B19" s="18">
        <v>0.96599500000000005</v>
      </c>
      <c r="C19" s="18">
        <v>0.86112</v>
      </c>
      <c r="D19" s="18">
        <v>0.56682900000000003</v>
      </c>
      <c r="E19" s="24">
        <v>-5.6758000000000003E-2</v>
      </c>
    </row>
    <row r="22" spans="1:5" ht="18" customHeight="1" x14ac:dyDescent="0.3">
      <c r="A22" s="33" t="s">
        <v>77</v>
      </c>
      <c r="B22" s="29"/>
      <c r="C22" s="29"/>
      <c r="D22" s="29"/>
      <c r="E22" s="29"/>
    </row>
    <row r="23" spans="1:5" ht="18" customHeight="1" x14ac:dyDescent="0.3">
      <c r="A23" s="20" t="s">
        <v>53</v>
      </c>
      <c r="B23" s="20" t="s">
        <v>54</v>
      </c>
      <c r="C23" s="20" t="s">
        <v>55</v>
      </c>
      <c r="D23" s="20" t="s">
        <v>7</v>
      </c>
    </row>
    <row r="24" spans="1:5" ht="18" customHeight="1" x14ac:dyDescent="0.3">
      <c r="A24" s="7">
        <v>1.8023000000000001E-2</v>
      </c>
      <c r="B24" s="10">
        <v>-8.6090000000000003E-3</v>
      </c>
      <c r="C24" s="10">
        <v>-4.8542000000000002E-2</v>
      </c>
      <c r="D24" s="7">
        <v>0.36809999999999998</v>
      </c>
    </row>
    <row r="25" spans="1:5" ht="18" customHeight="1" x14ac:dyDescent="0.3">
      <c r="A25" s="27" t="s">
        <v>89</v>
      </c>
      <c r="B25" s="21" t="s">
        <v>78</v>
      </c>
      <c r="C25" s="21" t="s">
        <v>78</v>
      </c>
      <c r="D25" s="27" t="s">
        <v>90</v>
      </c>
    </row>
    <row r="27" spans="1:5" ht="18" customHeight="1" x14ac:dyDescent="0.3">
      <c r="A27" s="31" t="s">
        <v>80</v>
      </c>
      <c r="B27" s="29"/>
      <c r="C27" s="29"/>
      <c r="D27" s="29"/>
      <c r="E27" s="29"/>
    </row>
    <row r="28" spans="1:5" ht="18" customHeight="1" x14ac:dyDescent="0.3">
      <c r="A28" s="20" t="s">
        <v>12</v>
      </c>
      <c r="B28" s="20" t="s">
        <v>81</v>
      </c>
      <c r="C28" s="20" t="s">
        <v>82</v>
      </c>
      <c r="D28" s="20" t="s">
        <v>83</v>
      </c>
      <c r="E28" s="20" t="s">
        <v>84</v>
      </c>
    </row>
    <row r="29" spans="1:5" ht="18" customHeight="1" x14ac:dyDescent="0.3">
      <c r="A29" s="7" t="s">
        <v>29</v>
      </c>
      <c r="B29" s="7" t="s">
        <v>27</v>
      </c>
      <c r="C29" s="7">
        <v>9.8019999999999999E-3</v>
      </c>
      <c r="D29" s="7" t="s">
        <v>94</v>
      </c>
      <c r="E29" s="7" t="s">
        <v>87</v>
      </c>
    </row>
    <row r="30" spans="1:5" ht="18" customHeight="1" x14ac:dyDescent="0.3">
      <c r="A30" s="2" t="s">
        <v>19</v>
      </c>
      <c r="B30" s="2" t="s">
        <v>28</v>
      </c>
      <c r="C30" s="2" t="s">
        <v>86</v>
      </c>
      <c r="D30" s="2" t="s">
        <v>86</v>
      </c>
      <c r="E30" s="23"/>
    </row>
  </sheetData>
  <mergeCells count="4">
    <mergeCell ref="A22:E22"/>
    <mergeCell ref="A1:E1"/>
    <mergeCell ref="A27:E2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showGridLines="0" topLeftCell="A5" workbookViewId="0">
      <selection activeCell="K26" sqref="K26"/>
    </sheetView>
  </sheetViews>
  <sheetFormatPr defaultRowHeight="14.4" x14ac:dyDescent="0.3"/>
  <cols>
    <col min="1" max="1" width="8" customWidth="1"/>
    <col min="2" max="5" width="15" customWidth="1"/>
    <col min="6" max="6" width="18" customWidth="1"/>
    <col min="8" max="8" width="10.21875" bestFit="1" customWidth="1"/>
  </cols>
  <sheetData>
    <row r="1" spans="1:6" ht="24" customHeight="1" x14ac:dyDescent="0.3">
      <c r="A1" s="32" t="s">
        <v>95</v>
      </c>
      <c r="B1" s="29"/>
      <c r="C1" s="29"/>
      <c r="D1" s="29"/>
      <c r="E1" s="29"/>
      <c r="F1" s="29"/>
    </row>
    <row r="2" spans="1:6" ht="7.95" customHeight="1" x14ac:dyDescent="0.3"/>
    <row r="3" spans="1:6" ht="18" customHeight="1" x14ac:dyDescent="0.3">
      <c r="A3" s="33" t="s">
        <v>72</v>
      </c>
      <c r="B3" s="29"/>
      <c r="C3" s="29"/>
      <c r="D3" s="29"/>
      <c r="E3" s="29"/>
      <c r="F3" s="29"/>
    </row>
    <row r="4" spans="1:6" ht="18" customHeight="1" x14ac:dyDescent="0.3">
      <c r="A4" s="8" t="s">
        <v>73</v>
      </c>
      <c r="B4" s="8" t="s">
        <v>74</v>
      </c>
      <c r="C4" s="8" t="s">
        <v>75</v>
      </c>
      <c r="D4" s="8" t="s">
        <v>93</v>
      </c>
      <c r="E4" s="8" t="s">
        <v>96</v>
      </c>
      <c r="F4" s="14" t="s">
        <v>76</v>
      </c>
    </row>
    <row r="5" spans="1:6" ht="15" customHeight="1" x14ac:dyDescent="0.3">
      <c r="A5" s="6">
        <v>1</v>
      </c>
      <c r="B5" s="18">
        <v>0.89698100000000003</v>
      </c>
      <c r="C5" s="18">
        <v>0.72562800000000005</v>
      </c>
      <c r="D5" s="18">
        <v>0.175404</v>
      </c>
      <c r="E5" s="18">
        <v>0.70169400000000004</v>
      </c>
      <c r="F5" s="19">
        <v>-22.108288000000002</v>
      </c>
    </row>
    <row r="6" spans="1:6" ht="15" customHeight="1" x14ac:dyDescent="0.3">
      <c r="A6" s="2">
        <v>2</v>
      </c>
      <c r="B6" s="25">
        <v>0.88935600000000004</v>
      </c>
      <c r="C6" s="25">
        <v>0.49958799999999998</v>
      </c>
      <c r="D6" s="25">
        <v>0.539269</v>
      </c>
      <c r="E6" s="25">
        <v>0.50878299999999999</v>
      </c>
      <c r="F6" s="26">
        <v>-14.601397</v>
      </c>
    </row>
    <row r="7" spans="1:6" ht="15" customHeight="1" x14ac:dyDescent="0.3">
      <c r="A7" s="6">
        <v>3</v>
      </c>
      <c r="B7" s="18">
        <v>0.250946</v>
      </c>
      <c r="C7" s="18">
        <v>3.3693000000000001E-2</v>
      </c>
      <c r="D7" s="18">
        <v>0.14538000000000001</v>
      </c>
      <c r="E7" s="18">
        <v>0.49493199999999998</v>
      </c>
      <c r="F7" s="24">
        <v>-11.699932</v>
      </c>
    </row>
    <row r="8" spans="1:6" ht="15" customHeight="1" x14ac:dyDescent="0.3">
      <c r="A8" s="2">
        <v>4</v>
      </c>
      <c r="B8" s="25">
        <v>0.34696199999999999</v>
      </c>
      <c r="C8" s="25">
        <v>6.2500000000000003E-3</v>
      </c>
      <c r="D8" s="25">
        <v>0.76056400000000002</v>
      </c>
      <c r="E8" s="25">
        <v>0.61302400000000001</v>
      </c>
      <c r="F8" s="26">
        <v>-16.053764999999999</v>
      </c>
    </row>
    <row r="9" spans="1:6" ht="15" customHeight="1" x14ac:dyDescent="0.3">
      <c r="A9" s="6">
        <v>5</v>
      </c>
      <c r="B9" s="18">
        <v>0.124871</v>
      </c>
      <c r="C9" s="18">
        <v>0.12977</v>
      </c>
      <c r="D9" s="18">
        <v>0.38440000000000002</v>
      </c>
      <c r="E9" s="18">
        <v>0.287076</v>
      </c>
      <c r="F9" s="24">
        <v>-10.069633</v>
      </c>
    </row>
    <row r="10" spans="1:6" ht="15" customHeight="1" x14ac:dyDescent="0.3">
      <c r="A10" s="2">
        <v>6</v>
      </c>
      <c r="B10" s="25">
        <v>0.80130299999999999</v>
      </c>
      <c r="C10" s="25">
        <v>0.50023099999999998</v>
      </c>
      <c r="D10" s="25">
        <v>0.70664499999999997</v>
      </c>
      <c r="E10" s="25">
        <v>0.195103</v>
      </c>
      <c r="F10" s="26">
        <v>-15.487083</v>
      </c>
    </row>
    <row r="11" spans="1:6" ht="15" customHeight="1" x14ac:dyDescent="0.3">
      <c r="A11" s="6">
        <v>7</v>
      </c>
      <c r="B11" s="18">
        <v>0.24770800000000001</v>
      </c>
      <c r="C11" s="18">
        <v>6.0444999999999999E-2</v>
      </c>
      <c r="D11" s="18">
        <v>4.2186000000000001E-2</v>
      </c>
      <c r="E11" s="18">
        <v>0.44132399999999999</v>
      </c>
      <c r="F11" s="24">
        <v>-12.681685</v>
      </c>
    </row>
    <row r="12" spans="1:6" ht="15" customHeight="1" x14ac:dyDescent="0.3">
      <c r="A12" s="2">
        <v>8</v>
      </c>
      <c r="B12" s="25">
        <v>0.74670199999999998</v>
      </c>
      <c r="C12" s="25">
        <v>0.75709199999999999</v>
      </c>
      <c r="D12" s="25">
        <v>0.36935299999999999</v>
      </c>
      <c r="E12" s="25">
        <v>0.206566</v>
      </c>
      <c r="F12" s="26">
        <v>-16.026399999999999</v>
      </c>
    </row>
    <row r="13" spans="1:6" ht="15" customHeight="1" x14ac:dyDescent="0.3">
      <c r="A13" s="6">
        <v>9</v>
      </c>
      <c r="B13" s="18">
        <v>0.40066499999999999</v>
      </c>
      <c r="C13" s="18">
        <v>7.2574E-2</v>
      </c>
      <c r="D13" s="18">
        <v>0.886768</v>
      </c>
      <c r="E13" s="18">
        <v>0.243842</v>
      </c>
      <c r="F13" s="24">
        <v>-17.049234999999999</v>
      </c>
    </row>
    <row r="14" spans="1:6" ht="15" customHeight="1" x14ac:dyDescent="0.3">
      <c r="A14" s="2">
        <v>10</v>
      </c>
      <c r="B14" s="25">
        <v>0.62607100000000004</v>
      </c>
      <c r="C14" s="25">
        <v>0.58675100000000002</v>
      </c>
      <c r="D14" s="25">
        <v>0.43880599999999997</v>
      </c>
      <c r="E14" s="25">
        <v>0.77885800000000005</v>
      </c>
      <c r="F14" s="26">
        <v>-12.741766</v>
      </c>
    </row>
    <row r="15" spans="1:6" ht="15" customHeight="1" x14ac:dyDescent="0.3">
      <c r="A15" s="6">
        <v>11</v>
      </c>
      <c r="B15" s="18">
        <v>0.95713499999999996</v>
      </c>
      <c r="C15" s="18">
        <v>0.59764399999999995</v>
      </c>
      <c r="D15" s="18">
        <v>0.76611399999999996</v>
      </c>
      <c r="E15" s="18">
        <v>0.77620999999999996</v>
      </c>
      <c r="F15" s="19">
        <v>-27.316396000000001</v>
      </c>
    </row>
    <row r="16" spans="1:6" ht="15" customHeight="1" x14ac:dyDescent="0.3">
      <c r="A16" s="2">
        <v>12</v>
      </c>
      <c r="B16" s="25">
        <v>0.73281200000000002</v>
      </c>
      <c r="C16" s="25">
        <v>0.14524999999999999</v>
      </c>
      <c r="D16" s="25">
        <v>0.47681299999999999</v>
      </c>
      <c r="E16" s="25">
        <v>0.13336600000000001</v>
      </c>
      <c r="F16" s="26">
        <v>-13.527649</v>
      </c>
    </row>
    <row r="17" spans="1:6" ht="15" customHeight="1" x14ac:dyDescent="0.3">
      <c r="A17" s="6">
        <v>13</v>
      </c>
      <c r="B17" s="18">
        <v>0.655115</v>
      </c>
      <c r="C17" s="18">
        <v>7.2391999999999998E-2</v>
      </c>
      <c r="D17" s="18">
        <v>0.68715199999999999</v>
      </c>
      <c r="E17" s="18">
        <v>8.1517000000000006E-2</v>
      </c>
      <c r="F17" s="24">
        <v>-16.679114999999999</v>
      </c>
    </row>
    <row r="18" spans="1:6" ht="15" customHeight="1" x14ac:dyDescent="0.3">
      <c r="A18" s="2">
        <v>14</v>
      </c>
      <c r="B18" s="25">
        <v>0.21973400000000001</v>
      </c>
      <c r="C18" s="25">
        <v>0.83203099999999997</v>
      </c>
      <c r="D18" s="25">
        <v>0.48286400000000002</v>
      </c>
      <c r="E18" s="25">
        <v>8.2569000000000004E-2</v>
      </c>
      <c r="F18" s="26">
        <v>-16.507159000000001</v>
      </c>
    </row>
    <row r="19" spans="1:6" ht="15" customHeight="1" x14ac:dyDescent="0.3">
      <c r="A19" s="6">
        <v>15</v>
      </c>
      <c r="B19" s="18">
        <v>0.48859399999999997</v>
      </c>
      <c r="C19" s="18">
        <v>0.21196499999999999</v>
      </c>
      <c r="D19" s="18">
        <v>0.93917799999999996</v>
      </c>
      <c r="E19" s="18">
        <v>0.37619200000000003</v>
      </c>
      <c r="F19" s="19">
        <v>-17.817999</v>
      </c>
    </row>
    <row r="20" spans="1:6" ht="15" customHeight="1" x14ac:dyDescent="0.3">
      <c r="A20" s="2">
        <v>16</v>
      </c>
      <c r="B20" s="25">
        <v>0.16713</v>
      </c>
      <c r="C20" s="25">
        <v>0.87655499999999997</v>
      </c>
      <c r="D20" s="25">
        <v>0.21723999999999999</v>
      </c>
      <c r="E20" s="25">
        <v>0.95980100000000002</v>
      </c>
      <c r="F20" s="19">
        <v>-26.561820999999998</v>
      </c>
    </row>
    <row r="21" spans="1:6" ht="15" customHeight="1" x14ac:dyDescent="0.3">
      <c r="A21" s="6">
        <v>17</v>
      </c>
      <c r="B21" s="18">
        <v>0.21691099999999999</v>
      </c>
      <c r="C21" s="18">
        <v>0.16608600000000001</v>
      </c>
      <c r="D21" s="18">
        <v>0.241372</v>
      </c>
      <c r="E21" s="18">
        <v>0.77006200000000002</v>
      </c>
      <c r="F21" s="24">
        <v>-12.758324</v>
      </c>
    </row>
    <row r="22" spans="1:6" ht="15" customHeight="1" x14ac:dyDescent="0.3">
      <c r="A22" s="2">
        <v>18</v>
      </c>
      <c r="B22" s="25">
        <v>0.387488</v>
      </c>
      <c r="C22" s="25">
        <v>0.80453200000000002</v>
      </c>
      <c r="D22" s="25">
        <v>0.75179499999999999</v>
      </c>
      <c r="E22" s="25">
        <v>0.723827</v>
      </c>
      <c r="F22" s="19">
        <v>-19.441558000000001</v>
      </c>
    </row>
    <row r="23" spans="1:6" ht="15" customHeight="1" x14ac:dyDescent="0.3">
      <c r="A23" s="6">
        <v>19</v>
      </c>
      <c r="B23" s="18">
        <v>0.985622</v>
      </c>
      <c r="C23" s="18">
        <v>0.666933</v>
      </c>
      <c r="D23" s="18">
        <v>0.15678300000000001</v>
      </c>
      <c r="E23" s="18">
        <v>0.85653500000000005</v>
      </c>
      <c r="F23" s="19">
        <v>-28.903274</v>
      </c>
    </row>
    <row r="24" spans="1:6" ht="15" customHeight="1" x14ac:dyDescent="0.3">
      <c r="A24" s="2">
        <v>20</v>
      </c>
      <c r="B24" s="25">
        <v>3.7824999999999998E-2</v>
      </c>
      <c r="C24" s="25">
        <v>0.66485300000000003</v>
      </c>
      <c r="D24" s="25">
        <v>0.16198199999999999</v>
      </c>
      <c r="E24" s="25">
        <v>0.25392399999999998</v>
      </c>
      <c r="F24" s="26">
        <v>-13.702747</v>
      </c>
    </row>
    <row r="25" spans="1:6" ht="15" customHeight="1" x14ac:dyDescent="0.3">
      <c r="A25" s="6">
        <v>21</v>
      </c>
      <c r="B25" s="18">
        <v>0.68348600000000004</v>
      </c>
      <c r="C25" s="18">
        <v>0.90276999999999996</v>
      </c>
      <c r="D25" s="18">
        <v>0.33542</v>
      </c>
      <c r="E25" s="18">
        <v>0.99948300000000001</v>
      </c>
      <c r="F25" s="19">
        <v>-29.427091000000001</v>
      </c>
    </row>
    <row r="26" spans="1:6" ht="15" customHeight="1" x14ac:dyDescent="0.3">
      <c r="A26" s="2">
        <v>22</v>
      </c>
      <c r="B26" s="25">
        <v>0.170347</v>
      </c>
      <c r="C26" s="25">
        <v>0.75695900000000005</v>
      </c>
      <c r="D26" s="25">
        <v>0.27651999999999999</v>
      </c>
      <c r="E26" s="25">
        <v>0.53123100000000001</v>
      </c>
      <c r="F26" s="26">
        <v>-11.565742</v>
      </c>
    </row>
    <row r="27" spans="1:6" ht="15" customHeight="1" x14ac:dyDescent="0.3">
      <c r="A27" s="6">
        <v>23</v>
      </c>
      <c r="B27" s="18">
        <v>0.859657</v>
      </c>
      <c r="C27" s="18">
        <v>0.91959199999999996</v>
      </c>
      <c r="D27" s="18">
        <v>0.20613899999999999</v>
      </c>
      <c r="E27" s="18">
        <v>9.7796999999999995E-2</v>
      </c>
      <c r="F27" s="19">
        <v>-26.857786000000001</v>
      </c>
    </row>
    <row r="28" spans="1:6" ht="15" customHeight="1" x14ac:dyDescent="0.3">
      <c r="A28" s="2">
        <v>24</v>
      </c>
      <c r="B28" s="25">
        <v>0.282138</v>
      </c>
      <c r="C28" s="25">
        <v>0.50598699999999996</v>
      </c>
      <c r="D28" s="25">
        <v>0.53053099999999997</v>
      </c>
      <c r="E28" s="25">
        <v>9.6301999999999999E-2</v>
      </c>
      <c r="F28" s="26">
        <v>-7.9667750000000002</v>
      </c>
    </row>
    <row r="29" spans="1:6" ht="15" customHeight="1" x14ac:dyDescent="0.3">
      <c r="A29" s="6">
        <v>25</v>
      </c>
      <c r="B29" s="18">
        <v>0.32607599999999998</v>
      </c>
      <c r="C29" s="18">
        <v>0.47236699999999998</v>
      </c>
      <c r="D29" s="18">
        <v>0.45319199999999998</v>
      </c>
      <c r="E29" s="18">
        <v>0.105887</v>
      </c>
      <c r="F29" s="24">
        <v>-6.702089</v>
      </c>
    </row>
    <row r="30" spans="1:6" ht="15" customHeight="1" x14ac:dyDescent="0.3">
      <c r="A30" s="2">
        <v>26</v>
      </c>
      <c r="B30" s="25">
        <v>0.94838900000000004</v>
      </c>
      <c r="C30" s="25">
        <v>0.894513</v>
      </c>
      <c r="D30" s="25">
        <v>0.85163800000000001</v>
      </c>
      <c r="E30" s="25">
        <v>0.55219600000000002</v>
      </c>
      <c r="F30" s="19">
        <v>-32.625660000000003</v>
      </c>
    </row>
    <row r="31" spans="1:6" ht="15" customHeight="1" x14ac:dyDescent="0.3">
      <c r="A31" s="6">
        <v>27</v>
      </c>
      <c r="B31" s="18">
        <v>0.66495499999999996</v>
      </c>
      <c r="C31" s="18">
        <v>4.6566000000000003E-2</v>
      </c>
      <c r="D31" s="18">
        <v>0.11677700000000001</v>
      </c>
      <c r="E31" s="18">
        <v>0.79371800000000003</v>
      </c>
      <c r="F31" s="19">
        <v>-19.989498000000001</v>
      </c>
    </row>
    <row r="32" spans="1:6" ht="15" customHeight="1" x14ac:dyDescent="0.3">
      <c r="A32" s="15">
        <v>28</v>
      </c>
      <c r="B32" s="16">
        <v>0.577766</v>
      </c>
      <c r="C32" s="16">
        <v>0.42877199999999999</v>
      </c>
      <c r="D32" s="16">
        <v>0.42582599999999998</v>
      </c>
      <c r="E32" s="16">
        <v>0.24900700000000001</v>
      </c>
      <c r="F32" s="17">
        <v>-4.0255419999999997</v>
      </c>
    </row>
    <row r="33" spans="1:8" ht="15" customHeight="1" x14ac:dyDescent="0.3">
      <c r="A33" s="6">
        <v>29</v>
      </c>
      <c r="B33" s="18">
        <v>0.73861299999999996</v>
      </c>
      <c r="C33" s="18">
        <v>0.482103</v>
      </c>
      <c r="D33" s="18">
        <v>0.70936600000000005</v>
      </c>
      <c r="E33" s="18">
        <v>0.50397000000000003</v>
      </c>
      <c r="F33" s="24">
        <v>-13.122782000000001</v>
      </c>
    </row>
    <row r="34" spans="1:8" ht="15" customHeight="1" x14ac:dyDescent="0.3">
      <c r="A34" s="2">
        <v>30</v>
      </c>
      <c r="B34" s="25">
        <v>0.85481099999999999</v>
      </c>
      <c r="C34" s="25">
        <v>0.49396499999999999</v>
      </c>
      <c r="D34" s="25">
        <v>0.73531000000000002</v>
      </c>
      <c r="E34" s="25">
        <v>0.80809200000000003</v>
      </c>
      <c r="F34" s="19">
        <v>-23.139427999999999</v>
      </c>
      <c r="H34" s="34">
        <f>AVERAGE(F5:F34)</f>
        <v>-17.238587299999999</v>
      </c>
    </row>
    <row r="37" spans="1:8" ht="18" customHeight="1" x14ac:dyDescent="0.3">
      <c r="A37" s="33" t="s">
        <v>77</v>
      </c>
      <c r="B37" s="29"/>
      <c r="C37" s="29"/>
      <c r="D37" s="29"/>
      <c r="E37" s="29"/>
      <c r="F37" s="29"/>
    </row>
    <row r="38" spans="1:8" ht="18" customHeight="1" x14ac:dyDescent="0.3">
      <c r="A38" s="20" t="s">
        <v>53</v>
      </c>
      <c r="B38" s="20" t="s">
        <v>54</v>
      </c>
      <c r="C38" s="20" t="s">
        <v>55</v>
      </c>
      <c r="D38" s="20" t="s">
        <v>56</v>
      </c>
      <c r="E38" s="20" t="s">
        <v>7</v>
      </c>
    </row>
    <row r="39" spans="1:8" ht="18" customHeight="1" x14ac:dyDescent="0.3">
      <c r="A39" s="10">
        <v>-2.5164019999999998</v>
      </c>
      <c r="B39" s="10">
        <v>-2.2738749999999999</v>
      </c>
      <c r="C39" s="10">
        <v>-0.60090699999999997</v>
      </c>
      <c r="D39" s="10">
        <v>-2.9212760000000002</v>
      </c>
      <c r="E39" s="7">
        <v>0.57940000000000003</v>
      </c>
    </row>
    <row r="40" spans="1:8" ht="18" customHeight="1" x14ac:dyDescent="0.3">
      <c r="A40" s="21" t="s">
        <v>78</v>
      </c>
      <c r="B40" s="21" t="s">
        <v>78</v>
      </c>
      <c r="C40" s="21" t="s">
        <v>78</v>
      </c>
      <c r="D40" s="21" t="s">
        <v>78</v>
      </c>
      <c r="E40" s="27" t="s">
        <v>90</v>
      </c>
    </row>
    <row r="42" spans="1:8" ht="18" customHeight="1" x14ac:dyDescent="0.3">
      <c r="A42" s="31" t="s">
        <v>80</v>
      </c>
      <c r="B42" s="29"/>
      <c r="C42" s="29"/>
      <c r="D42" s="29"/>
      <c r="E42" s="29"/>
      <c r="F42" s="29"/>
    </row>
    <row r="43" spans="1:8" ht="18" customHeight="1" x14ac:dyDescent="0.3">
      <c r="A43" s="20" t="s">
        <v>12</v>
      </c>
      <c r="B43" s="20" t="s">
        <v>81</v>
      </c>
      <c r="C43" s="20" t="s">
        <v>82</v>
      </c>
      <c r="D43" s="20" t="s">
        <v>83</v>
      </c>
      <c r="E43" s="20" t="s">
        <v>84</v>
      </c>
    </row>
    <row r="44" spans="1:8" ht="18" customHeight="1" x14ac:dyDescent="0.3">
      <c r="A44" s="2" t="s">
        <v>29</v>
      </c>
      <c r="B44" s="2" t="s">
        <v>32</v>
      </c>
      <c r="C44" s="2">
        <v>-4.4697719999999999</v>
      </c>
      <c r="D44" s="2" t="s">
        <v>97</v>
      </c>
      <c r="E44" s="23"/>
    </row>
    <row r="45" spans="1:8" ht="18" customHeight="1" x14ac:dyDescent="0.3">
      <c r="A45" s="7" t="s">
        <v>19</v>
      </c>
      <c r="B45" s="7" t="s">
        <v>33</v>
      </c>
      <c r="C45" s="7" t="s">
        <v>86</v>
      </c>
      <c r="D45" s="7" t="s">
        <v>86</v>
      </c>
      <c r="E45" s="7" t="s">
        <v>87</v>
      </c>
    </row>
  </sheetData>
  <mergeCells count="4">
    <mergeCell ref="A3:F3"/>
    <mergeCell ref="A1:F1"/>
    <mergeCell ref="A37:F37"/>
    <mergeCell ref="A42:F4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showGridLines="0" workbookViewId="0">
      <selection activeCell="F5" sqref="F5:F24"/>
    </sheetView>
  </sheetViews>
  <sheetFormatPr defaultRowHeight="14.4" x14ac:dyDescent="0.3"/>
  <cols>
    <col min="1" max="1" width="8" customWidth="1"/>
    <col min="2" max="5" width="15" customWidth="1"/>
    <col min="6" max="6" width="18" customWidth="1"/>
  </cols>
  <sheetData>
    <row r="1" spans="1:6" ht="24" customHeight="1" x14ac:dyDescent="0.3">
      <c r="A1" s="32" t="s">
        <v>98</v>
      </c>
      <c r="B1" s="29"/>
      <c r="C1" s="29"/>
      <c r="D1" s="29"/>
      <c r="E1" s="29"/>
      <c r="F1" s="29"/>
    </row>
    <row r="2" spans="1:6" ht="7.95" customHeight="1" x14ac:dyDescent="0.3"/>
    <row r="3" spans="1:6" ht="18" customHeight="1" x14ac:dyDescent="0.3">
      <c r="A3" s="33" t="s">
        <v>72</v>
      </c>
      <c r="B3" s="29"/>
      <c r="C3" s="29"/>
      <c r="D3" s="29"/>
      <c r="E3" s="29"/>
      <c r="F3" s="29"/>
    </row>
    <row r="4" spans="1:6" ht="18" customHeight="1" x14ac:dyDescent="0.3">
      <c r="A4" s="8" t="s">
        <v>73</v>
      </c>
      <c r="B4" s="8" t="s">
        <v>74</v>
      </c>
      <c r="C4" s="8" t="s">
        <v>75</v>
      </c>
      <c r="D4" s="8" t="s">
        <v>93</v>
      </c>
      <c r="E4" s="8" t="s">
        <v>96</v>
      </c>
      <c r="F4" s="14" t="s">
        <v>76</v>
      </c>
    </row>
    <row r="5" spans="1:6" ht="15" customHeight="1" x14ac:dyDescent="0.3">
      <c r="A5" s="6">
        <v>1</v>
      </c>
      <c r="B5" s="18">
        <v>0.19144700000000001</v>
      </c>
      <c r="C5" s="18">
        <v>3.8192999999999998E-2</v>
      </c>
      <c r="D5" s="18">
        <v>0.60741800000000001</v>
      </c>
      <c r="E5" s="18">
        <v>0.41458400000000001</v>
      </c>
      <c r="F5" s="19">
        <v>64.443439999999995</v>
      </c>
    </row>
    <row r="6" spans="1:6" ht="15" customHeight="1" x14ac:dyDescent="0.3">
      <c r="A6" s="2">
        <v>2</v>
      </c>
      <c r="B6" s="25">
        <v>0.75865300000000002</v>
      </c>
      <c r="C6" s="25">
        <v>0.53651800000000005</v>
      </c>
      <c r="D6" s="25">
        <v>0.65600000000000003</v>
      </c>
      <c r="E6" s="25">
        <v>0.360342</v>
      </c>
      <c r="F6" s="19">
        <v>18.301380000000002</v>
      </c>
    </row>
    <row r="7" spans="1:6" ht="15" customHeight="1" x14ac:dyDescent="0.3">
      <c r="A7" s="6">
        <v>3</v>
      </c>
      <c r="B7" s="18">
        <v>0.43835000000000002</v>
      </c>
      <c r="C7" s="18">
        <v>0.80434000000000005</v>
      </c>
      <c r="D7" s="18">
        <v>0.21024499999999999</v>
      </c>
      <c r="E7" s="18">
        <v>0.15129500000000001</v>
      </c>
      <c r="F7" s="19">
        <v>0.11294</v>
      </c>
    </row>
    <row r="8" spans="1:6" ht="15" customHeight="1" x14ac:dyDescent="0.3">
      <c r="A8" s="2">
        <v>4</v>
      </c>
      <c r="B8" s="25">
        <v>0.70605099999999998</v>
      </c>
      <c r="C8" s="25">
        <v>0.534192</v>
      </c>
      <c r="D8" s="25">
        <v>0.26424300000000001</v>
      </c>
      <c r="E8" s="25">
        <v>0.48208800000000002</v>
      </c>
      <c r="F8" s="19">
        <v>4.2108980000000003</v>
      </c>
    </row>
    <row r="9" spans="1:6" ht="15" customHeight="1" x14ac:dyDescent="0.3">
      <c r="A9" s="6">
        <v>5</v>
      </c>
      <c r="B9" s="18">
        <v>0.83647800000000005</v>
      </c>
      <c r="C9" s="18">
        <v>0.19361</v>
      </c>
      <c r="D9" s="18">
        <v>0.66389299999999996</v>
      </c>
      <c r="E9" s="18">
        <v>0.78564900000000004</v>
      </c>
      <c r="F9" s="24">
        <v>258.37052499999999</v>
      </c>
    </row>
    <row r="10" spans="1:6" ht="15" customHeight="1" x14ac:dyDescent="0.3">
      <c r="A10" s="2">
        <v>6</v>
      </c>
      <c r="B10" s="25">
        <v>0.68343200000000004</v>
      </c>
      <c r="C10" s="25">
        <v>0.118663</v>
      </c>
      <c r="D10" s="25">
        <v>0.82904599999999995</v>
      </c>
      <c r="E10" s="25">
        <v>0.567577</v>
      </c>
      <c r="F10" s="19">
        <v>78.434388999999996</v>
      </c>
    </row>
    <row r="11" spans="1:6" ht="15" customHeight="1" x14ac:dyDescent="0.3">
      <c r="A11" s="6">
        <v>7</v>
      </c>
      <c r="B11" s="18">
        <v>0.55362100000000003</v>
      </c>
      <c r="C11" s="18">
        <v>0.66735</v>
      </c>
      <c r="D11" s="18">
        <v>0.32380599999999998</v>
      </c>
      <c r="E11" s="18">
        <v>0.81486999999999998</v>
      </c>
      <c r="F11" s="19">
        <v>57.571536999999999</v>
      </c>
    </row>
    <row r="12" spans="1:6" ht="15" customHeight="1" x14ac:dyDescent="0.3">
      <c r="A12" s="2">
        <v>8</v>
      </c>
      <c r="B12" s="25">
        <v>0.352356</v>
      </c>
      <c r="C12" s="25">
        <v>0.32224199999999997</v>
      </c>
      <c r="D12" s="25">
        <v>0.116979</v>
      </c>
      <c r="E12" s="25">
        <v>0.47311300000000001</v>
      </c>
      <c r="F12" s="19">
        <v>109.571876</v>
      </c>
    </row>
    <row r="13" spans="1:6" ht="15" customHeight="1" x14ac:dyDescent="0.3">
      <c r="A13" s="6">
        <v>9</v>
      </c>
      <c r="B13" s="18">
        <v>0.15378600000000001</v>
      </c>
      <c r="C13" s="18">
        <v>0.72938199999999997</v>
      </c>
      <c r="D13" s="18">
        <v>0.42259799999999997</v>
      </c>
      <c r="E13" s="18">
        <v>0.44307400000000002</v>
      </c>
      <c r="F13" s="19">
        <v>8.8479919999999996</v>
      </c>
    </row>
    <row r="14" spans="1:6" ht="15" customHeight="1" x14ac:dyDescent="0.3">
      <c r="A14" s="2">
        <v>10</v>
      </c>
      <c r="B14" s="25">
        <v>0.46344200000000002</v>
      </c>
      <c r="C14" s="25">
        <v>0.63002499999999995</v>
      </c>
      <c r="D14" s="25">
        <v>0.107906</v>
      </c>
      <c r="E14" s="25">
        <v>0.95764400000000005</v>
      </c>
      <c r="F14" s="26">
        <v>233.22361000000001</v>
      </c>
    </row>
    <row r="15" spans="1:6" ht="15" customHeight="1" x14ac:dyDescent="0.3">
      <c r="A15" s="6">
        <v>11</v>
      </c>
      <c r="B15" s="18">
        <v>0.67749099999999995</v>
      </c>
      <c r="C15" s="18">
        <v>0.35851</v>
      </c>
      <c r="D15" s="18">
        <v>0.47959200000000002</v>
      </c>
      <c r="E15" s="18">
        <v>7.288E-2</v>
      </c>
      <c r="F15" s="19">
        <v>24.423088</v>
      </c>
    </row>
    <row r="16" spans="1:6" ht="15" customHeight="1" x14ac:dyDescent="0.3">
      <c r="A16" s="2">
        <v>12</v>
      </c>
      <c r="B16" s="25">
        <v>0.58397299999999996</v>
      </c>
      <c r="C16" s="25">
        <v>0.14724300000000001</v>
      </c>
      <c r="D16" s="25">
        <v>0.34809699999999999</v>
      </c>
      <c r="E16" s="25">
        <v>0.42861500000000002</v>
      </c>
      <c r="F16" s="19">
        <v>64.420147</v>
      </c>
    </row>
    <row r="17" spans="1:6" ht="15" customHeight="1" x14ac:dyDescent="0.3">
      <c r="A17" s="6">
        <v>13</v>
      </c>
      <c r="B17" s="18">
        <v>0.30688900000000002</v>
      </c>
      <c r="C17" s="18">
        <v>0.31687799999999999</v>
      </c>
      <c r="D17" s="18">
        <v>0.62263400000000002</v>
      </c>
      <c r="E17" s="18">
        <v>9.5398999999999998E-2</v>
      </c>
      <c r="F17" s="19">
        <v>63.476716000000003</v>
      </c>
    </row>
    <row r="18" spans="1:6" ht="15" customHeight="1" x14ac:dyDescent="0.3">
      <c r="A18" s="2">
        <v>14</v>
      </c>
      <c r="B18" s="25">
        <v>0.51114199999999999</v>
      </c>
      <c r="C18" s="25">
        <v>0.81795700000000005</v>
      </c>
      <c r="D18" s="25">
        <v>0.72870999999999997</v>
      </c>
      <c r="E18" s="25">
        <v>0.112354</v>
      </c>
      <c r="F18" s="19">
        <v>79.729129999999998</v>
      </c>
    </row>
    <row r="19" spans="1:6" ht="15" customHeight="1" x14ac:dyDescent="0.3">
      <c r="A19" s="6">
        <v>15</v>
      </c>
      <c r="B19" s="18">
        <v>0.43893300000000002</v>
      </c>
      <c r="C19" s="18">
        <v>0.774092</v>
      </c>
      <c r="D19" s="18">
        <v>0.37816699999999998</v>
      </c>
      <c r="E19" s="18">
        <v>0.93369599999999997</v>
      </c>
      <c r="F19" s="24">
        <v>355.80681800000002</v>
      </c>
    </row>
    <row r="20" spans="1:6" ht="15" customHeight="1" x14ac:dyDescent="0.3">
      <c r="A20" s="15">
        <v>16</v>
      </c>
      <c r="B20" s="16">
        <v>0.224189</v>
      </c>
      <c r="C20" s="16">
        <v>0.84648000000000001</v>
      </c>
      <c r="D20" s="16">
        <v>0.87948400000000004</v>
      </c>
      <c r="E20" s="16">
        <v>0.87851599999999996</v>
      </c>
      <c r="F20" s="17">
        <v>1088.859618</v>
      </c>
    </row>
    <row r="21" spans="1:6" ht="15" customHeight="1" x14ac:dyDescent="0.3">
      <c r="A21" s="6">
        <v>17</v>
      </c>
      <c r="B21" s="18">
        <v>0.72526199999999996</v>
      </c>
      <c r="C21" s="18">
        <v>0.47987000000000002</v>
      </c>
      <c r="D21" s="18">
        <v>8.8946999999999998E-2</v>
      </c>
      <c r="E21" s="18">
        <v>0.75975999999999999</v>
      </c>
      <c r="F21" s="19">
        <v>28.866752000000002</v>
      </c>
    </row>
    <row r="22" spans="1:6" ht="15" customHeight="1" x14ac:dyDescent="0.3">
      <c r="A22" s="2">
        <v>18</v>
      </c>
      <c r="B22" s="25">
        <v>0.35548200000000002</v>
      </c>
      <c r="C22" s="25">
        <v>0.63961900000000005</v>
      </c>
      <c r="D22" s="25">
        <v>0.41761799999999999</v>
      </c>
      <c r="E22" s="25">
        <v>0.122604</v>
      </c>
      <c r="F22" s="19">
        <v>45.181570000000001</v>
      </c>
    </row>
    <row r="23" spans="1:6" ht="15" customHeight="1" x14ac:dyDescent="0.3">
      <c r="A23" s="6">
        <v>19</v>
      </c>
      <c r="B23" s="18">
        <v>0.119879</v>
      </c>
      <c r="C23" s="18">
        <v>0.86253999999999997</v>
      </c>
      <c r="D23" s="18">
        <v>0.64333099999999999</v>
      </c>
      <c r="E23" s="18">
        <v>0.849804</v>
      </c>
      <c r="F23" s="24">
        <v>431.61275699999999</v>
      </c>
    </row>
    <row r="24" spans="1:6" ht="15" customHeight="1" x14ac:dyDescent="0.3">
      <c r="A24" s="2">
        <v>20</v>
      </c>
      <c r="B24" s="25">
        <v>0.126885</v>
      </c>
      <c r="C24" s="25">
        <v>0.15343000000000001</v>
      </c>
      <c r="D24" s="25">
        <v>0.77016200000000001</v>
      </c>
      <c r="E24" s="25">
        <v>0.19051799999999999</v>
      </c>
      <c r="F24" s="19">
        <v>9.9723319999999998</v>
      </c>
    </row>
    <row r="27" spans="1:6" ht="18" customHeight="1" x14ac:dyDescent="0.3">
      <c r="A27" s="33" t="s">
        <v>77</v>
      </c>
      <c r="B27" s="29"/>
      <c r="C27" s="29"/>
      <c r="D27" s="29"/>
      <c r="E27" s="29"/>
      <c r="F27" s="29"/>
    </row>
    <row r="28" spans="1:6" ht="18" customHeight="1" x14ac:dyDescent="0.3">
      <c r="A28" s="20" t="s">
        <v>53</v>
      </c>
      <c r="B28" s="20" t="s">
        <v>54</v>
      </c>
      <c r="C28" s="20" t="s">
        <v>55</v>
      </c>
      <c r="D28" s="20" t="s">
        <v>56</v>
      </c>
      <c r="E28" s="20" t="s">
        <v>7</v>
      </c>
    </row>
    <row r="29" spans="1:6" ht="18" customHeight="1" x14ac:dyDescent="0.3">
      <c r="A29" s="10">
        <v>-43.469563000000001</v>
      </c>
      <c r="B29" s="7">
        <v>69.023688000000007</v>
      </c>
      <c r="C29" s="7">
        <v>113.21845999999999</v>
      </c>
      <c r="D29" s="7">
        <v>143.521333</v>
      </c>
      <c r="E29" s="7">
        <v>0.66220000000000001</v>
      </c>
    </row>
    <row r="30" spans="1:6" ht="18" customHeight="1" x14ac:dyDescent="0.3">
      <c r="A30" s="21" t="s">
        <v>78</v>
      </c>
      <c r="B30" s="27" t="s">
        <v>89</v>
      </c>
      <c r="C30" s="27" t="s">
        <v>89</v>
      </c>
      <c r="D30" s="27" t="s">
        <v>89</v>
      </c>
      <c r="E30" s="27" t="s">
        <v>90</v>
      </c>
    </row>
    <row r="32" spans="1:6" ht="18" customHeight="1" x14ac:dyDescent="0.3">
      <c r="A32" s="31" t="s">
        <v>80</v>
      </c>
      <c r="B32" s="29"/>
      <c r="C32" s="29"/>
      <c r="D32" s="29"/>
      <c r="E32" s="29"/>
      <c r="F32" s="29"/>
    </row>
    <row r="33" spans="1:5" ht="18" customHeight="1" x14ac:dyDescent="0.3">
      <c r="A33" s="20" t="s">
        <v>12</v>
      </c>
      <c r="B33" s="20" t="s">
        <v>81</v>
      </c>
      <c r="C33" s="20" t="s">
        <v>82</v>
      </c>
      <c r="D33" s="20" t="s">
        <v>83</v>
      </c>
      <c r="E33" s="20" t="s">
        <v>84</v>
      </c>
    </row>
    <row r="34" spans="1:5" ht="18" customHeight="1" x14ac:dyDescent="0.3">
      <c r="A34" s="2" t="s">
        <v>29</v>
      </c>
      <c r="B34" s="2" t="s">
        <v>36</v>
      </c>
      <c r="C34" s="2">
        <v>788.19013900000004</v>
      </c>
      <c r="D34" s="2" t="s">
        <v>99</v>
      </c>
      <c r="E34" s="23"/>
    </row>
    <row r="35" spans="1:5" ht="18" customHeight="1" x14ac:dyDescent="0.3">
      <c r="A35" s="7" t="s">
        <v>19</v>
      </c>
      <c r="B35" s="7" t="s">
        <v>37</v>
      </c>
      <c r="C35" s="7" t="s">
        <v>86</v>
      </c>
      <c r="D35" s="7" t="s">
        <v>86</v>
      </c>
      <c r="E35" s="7" t="s">
        <v>87</v>
      </c>
    </row>
  </sheetData>
  <mergeCells count="4">
    <mergeCell ref="A3:F3"/>
    <mergeCell ref="A1:F1"/>
    <mergeCell ref="A32:F32"/>
    <mergeCell ref="A27:F27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5"/>
  <sheetViews>
    <sheetView showGridLines="0" workbookViewId="0">
      <selection activeCell="G5" sqref="G5:G24"/>
    </sheetView>
  </sheetViews>
  <sheetFormatPr defaultRowHeight="14.4" x14ac:dyDescent="0.3"/>
  <cols>
    <col min="1" max="1" width="8" customWidth="1"/>
    <col min="2" max="6" width="15" customWidth="1"/>
    <col min="7" max="7" width="18" customWidth="1"/>
  </cols>
  <sheetData>
    <row r="1" spans="1:7" ht="24" customHeight="1" x14ac:dyDescent="0.3">
      <c r="A1" s="32" t="s">
        <v>100</v>
      </c>
      <c r="B1" s="29"/>
      <c r="C1" s="29"/>
      <c r="D1" s="29"/>
      <c r="E1" s="29"/>
      <c r="F1" s="29"/>
      <c r="G1" s="29"/>
    </row>
    <row r="2" spans="1:7" ht="7.95" customHeight="1" x14ac:dyDescent="0.3"/>
    <row r="3" spans="1:7" ht="18" customHeight="1" x14ac:dyDescent="0.3">
      <c r="A3" s="33" t="s">
        <v>72</v>
      </c>
      <c r="B3" s="29"/>
      <c r="C3" s="29"/>
      <c r="D3" s="29"/>
      <c r="E3" s="29"/>
      <c r="F3" s="29"/>
      <c r="G3" s="29"/>
    </row>
    <row r="4" spans="1:7" ht="18" customHeight="1" x14ac:dyDescent="0.3">
      <c r="A4" s="8" t="s">
        <v>73</v>
      </c>
      <c r="B4" s="8" t="s">
        <v>74</v>
      </c>
      <c r="C4" s="8" t="s">
        <v>75</v>
      </c>
      <c r="D4" s="8" t="s">
        <v>93</v>
      </c>
      <c r="E4" s="8" t="s">
        <v>96</v>
      </c>
      <c r="F4" s="8" t="s">
        <v>101</v>
      </c>
      <c r="G4" s="14" t="s">
        <v>76</v>
      </c>
    </row>
    <row r="5" spans="1:7" ht="15" customHeight="1" x14ac:dyDescent="0.3">
      <c r="A5" s="15">
        <v>1</v>
      </c>
      <c r="B5" s="16">
        <v>0.728186</v>
      </c>
      <c r="C5" s="16">
        <v>0.154693</v>
      </c>
      <c r="D5" s="16">
        <v>0.73255199999999998</v>
      </c>
      <c r="E5" s="16">
        <v>0.69399699999999998</v>
      </c>
      <c r="F5" s="16">
        <v>5.6401E-2</v>
      </c>
      <c r="G5" s="17">
        <v>-0.71426500000000004</v>
      </c>
    </row>
    <row r="6" spans="1:7" ht="15" customHeight="1" x14ac:dyDescent="0.3">
      <c r="A6" s="2">
        <v>2</v>
      </c>
      <c r="B6" s="25">
        <v>0.24238399999999999</v>
      </c>
      <c r="C6" s="25">
        <v>0.84409999999999996</v>
      </c>
      <c r="D6" s="25">
        <v>0.57780900000000002</v>
      </c>
      <c r="E6" s="25">
        <v>0.67902099999999999</v>
      </c>
      <c r="F6" s="25">
        <v>0.50195299999999998</v>
      </c>
      <c r="G6" s="26">
        <v>-1.2099549999999999</v>
      </c>
    </row>
    <row r="7" spans="1:7" ht="15" customHeight="1" x14ac:dyDescent="0.3">
      <c r="A7" s="6">
        <v>3</v>
      </c>
      <c r="B7" s="18">
        <v>0.72952300000000003</v>
      </c>
      <c r="C7" s="18">
        <v>0.74810600000000005</v>
      </c>
      <c r="D7" s="18">
        <v>0.67977500000000002</v>
      </c>
      <c r="E7" s="18">
        <v>0.35655199999999998</v>
      </c>
      <c r="F7" s="18">
        <v>0.67105400000000004</v>
      </c>
      <c r="G7" s="19">
        <v>-1.6721999999999999</v>
      </c>
    </row>
    <row r="8" spans="1:7" ht="15" customHeight="1" x14ac:dyDescent="0.3">
      <c r="A8" s="2">
        <v>4</v>
      </c>
      <c r="B8" s="25">
        <v>0.77061999999999997</v>
      </c>
      <c r="C8" s="25">
        <v>0.11440400000000001</v>
      </c>
      <c r="D8" s="25">
        <v>4.6780000000000002E-2</v>
      </c>
      <c r="E8" s="25">
        <v>0.64832400000000001</v>
      </c>
      <c r="F8" s="25">
        <v>0.27354899999999999</v>
      </c>
      <c r="G8" s="19">
        <v>-1.5360579999999999</v>
      </c>
    </row>
    <row r="9" spans="1:7" ht="15" customHeight="1" x14ac:dyDescent="0.3">
      <c r="A9" s="6">
        <v>5</v>
      </c>
      <c r="B9" s="18">
        <v>0.61881200000000003</v>
      </c>
      <c r="C9" s="18">
        <v>0.33180199999999999</v>
      </c>
      <c r="D9" s="18">
        <v>0.18728800000000001</v>
      </c>
      <c r="E9" s="18">
        <v>0.75623799999999997</v>
      </c>
      <c r="F9" s="18">
        <v>0.32883499999999999</v>
      </c>
      <c r="G9" s="24">
        <v>-0.829237</v>
      </c>
    </row>
    <row r="10" spans="1:7" ht="15" customHeight="1" x14ac:dyDescent="0.3">
      <c r="A10" s="2">
        <v>6</v>
      </c>
      <c r="B10" s="25">
        <v>0.78495800000000004</v>
      </c>
      <c r="C10" s="25">
        <v>0.91068199999999999</v>
      </c>
      <c r="D10" s="25">
        <v>0.70811999999999997</v>
      </c>
      <c r="E10" s="25">
        <v>0.95922499999999999</v>
      </c>
      <c r="F10" s="25">
        <v>4.9109999999999996E-3</v>
      </c>
      <c r="G10" s="26">
        <v>-1.2470490000000001</v>
      </c>
    </row>
    <row r="11" spans="1:7" ht="15" customHeight="1" x14ac:dyDescent="0.3">
      <c r="A11" s="6">
        <v>7</v>
      </c>
      <c r="B11" s="18">
        <v>0.14511099999999999</v>
      </c>
      <c r="C11" s="18">
        <v>0.89668499999999995</v>
      </c>
      <c r="D11" s="18">
        <v>0.89632199999999995</v>
      </c>
      <c r="E11" s="18">
        <v>0.72627200000000003</v>
      </c>
      <c r="F11" s="18">
        <v>0.23627200000000001</v>
      </c>
      <c r="G11" s="24">
        <v>-1.233786</v>
      </c>
    </row>
    <row r="12" spans="1:7" ht="15" customHeight="1" x14ac:dyDescent="0.3">
      <c r="A12" s="2">
        <v>8</v>
      </c>
      <c r="B12" s="25">
        <v>0.94506900000000005</v>
      </c>
      <c r="C12" s="25">
        <v>0.28845900000000002</v>
      </c>
      <c r="D12" s="25">
        <v>0.97880599999999995</v>
      </c>
      <c r="E12" s="25">
        <v>0.96165599999999996</v>
      </c>
      <c r="F12" s="25">
        <v>0.59801599999999999</v>
      </c>
      <c r="G12" s="19">
        <v>-1.6943429999999999</v>
      </c>
    </row>
    <row r="13" spans="1:7" ht="15" customHeight="1" x14ac:dyDescent="0.3">
      <c r="A13" s="6">
        <v>9</v>
      </c>
      <c r="B13" s="18">
        <v>0.12572</v>
      </c>
      <c r="C13" s="18">
        <v>0.86272499999999996</v>
      </c>
      <c r="D13" s="18">
        <v>2.8544E-2</v>
      </c>
      <c r="E13" s="18">
        <v>0.24660499999999999</v>
      </c>
      <c r="F13" s="18">
        <v>0.75120600000000004</v>
      </c>
      <c r="G13" s="19">
        <v>-2.57117</v>
      </c>
    </row>
    <row r="14" spans="1:7" ht="15" customHeight="1" x14ac:dyDescent="0.3">
      <c r="A14" s="2">
        <v>10</v>
      </c>
      <c r="B14" s="25">
        <v>0.75759399999999999</v>
      </c>
      <c r="C14" s="25">
        <v>0.35583100000000001</v>
      </c>
      <c r="D14" s="25">
        <v>1.6522999999999999E-2</v>
      </c>
      <c r="E14" s="25">
        <v>0.43420700000000001</v>
      </c>
      <c r="F14" s="25">
        <v>0.11243300000000001</v>
      </c>
      <c r="G14" s="26">
        <v>-1.3091159999999999</v>
      </c>
    </row>
    <row r="15" spans="1:7" ht="15" customHeight="1" x14ac:dyDescent="0.3">
      <c r="A15" s="6">
        <v>11</v>
      </c>
      <c r="B15" s="18">
        <v>0.53679699999999997</v>
      </c>
      <c r="C15" s="18">
        <v>0.30878100000000003</v>
      </c>
      <c r="D15" s="18">
        <v>0.411879</v>
      </c>
      <c r="E15" s="18">
        <v>0.38822499999999999</v>
      </c>
      <c r="F15" s="18">
        <v>0.52252799999999999</v>
      </c>
      <c r="G15" s="24">
        <v>-1.1447849999999999</v>
      </c>
    </row>
    <row r="16" spans="1:7" ht="15" customHeight="1" x14ac:dyDescent="0.3">
      <c r="A16" s="2">
        <v>12</v>
      </c>
      <c r="B16" s="25">
        <v>0.95774000000000004</v>
      </c>
      <c r="C16" s="25">
        <v>0.23566899999999999</v>
      </c>
      <c r="D16" s="25">
        <v>9.9145999999999998E-2</v>
      </c>
      <c r="E16" s="25">
        <v>0.156806</v>
      </c>
      <c r="F16" s="25">
        <v>7.1317000000000005E-2</v>
      </c>
      <c r="G16" s="19">
        <v>-1.912677</v>
      </c>
    </row>
    <row r="17" spans="1:7" ht="15" customHeight="1" x14ac:dyDescent="0.3">
      <c r="A17" s="6">
        <v>13</v>
      </c>
      <c r="B17" s="18">
        <v>0.62930799999999998</v>
      </c>
      <c r="C17" s="18">
        <v>0.80348399999999998</v>
      </c>
      <c r="D17" s="18">
        <v>0.81140800000000002</v>
      </c>
      <c r="E17" s="18">
        <v>4.5613000000000001E-2</v>
      </c>
      <c r="F17" s="18">
        <v>0.110624</v>
      </c>
      <c r="G17" s="19">
        <v>-1.6228389999999999</v>
      </c>
    </row>
    <row r="18" spans="1:7" ht="15" customHeight="1" x14ac:dyDescent="0.3">
      <c r="A18" s="2">
        <v>14</v>
      </c>
      <c r="B18" s="25">
        <v>2.1735000000000001E-2</v>
      </c>
      <c r="C18" s="25">
        <v>0.42808400000000002</v>
      </c>
      <c r="D18" s="25">
        <v>0.83593899999999999</v>
      </c>
      <c r="E18" s="25">
        <v>0.48948900000000001</v>
      </c>
      <c r="F18" s="25">
        <v>0.51108200000000004</v>
      </c>
      <c r="G18" s="26">
        <v>-1.3566819999999999</v>
      </c>
    </row>
    <row r="19" spans="1:7" ht="15" customHeight="1" x14ac:dyDescent="0.3">
      <c r="A19" s="6">
        <v>15</v>
      </c>
      <c r="B19" s="18">
        <v>0.43934400000000001</v>
      </c>
      <c r="C19" s="18">
        <v>0.69892399999999999</v>
      </c>
      <c r="D19" s="18">
        <v>0.42681999999999998</v>
      </c>
      <c r="E19" s="18">
        <v>0.109476</v>
      </c>
      <c r="F19" s="18">
        <v>0.877888</v>
      </c>
      <c r="G19" s="19">
        <v>-2.0184250000000001</v>
      </c>
    </row>
    <row r="20" spans="1:7" ht="15" customHeight="1" x14ac:dyDescent="0.3">
      <c r="A20" s="2">
        <v>16</v>
      </c>
      <c r="B20" s="25">
        <v>0.25890600000000003</v>
      </c>
      <c r="C20" s="25">
        <v>0.79367799999999999</v>
      </c>
      <c r="D20" s="25">
        <v>0.64211399999999996</v>
      </c>
      <c r="E20" s="25">
        <v>0.19667299999999999</v>
      </c>
      <c r="F20" s="25">
        <v>0.59310300000000005</v>
      </c>
      <c r="G20" s="19">
        <v>-1.702558</v>
      </c>
    </row>
    <row r="21" spans="1:7" ht="15" customHeight="1" x14ac:dyDescent="0.3">
      <c r="A21" s="6">
        <v>17</v>
      </c>
      <c r="B21" s="18">
        <v>0.43216599999999999</v>
      </c>
      <c r="C21" s="18">
        <v>0.71561799999999998</v>
      </c>
      <c r="D21" s="18">
        <v>0.34181899999999998</v>
      </c>
      <c r="E21" s="18">
        <v>0.70499999999999996</v>
      </c>
      <c r="F21" s="18">
        <v>0.61496200000000001</v>
      </c>
      <c r="G21" s="24">
        <v>-1.2942469999999999</v>
      </c>
    </row>
    <row r="22" spans="1:7" ht="15" customHeight="1" x14ac:dyDescent="0.3">
      <c r="A22" s="2">
        <v>18</v>
      </c>
      <c r="B22" s="25">
        <v>0.78288000000000002</v>
      </c>
      <c r="C22" s="25">
        <v>0.53633600000000003</v>
      </c>
      <c r="D22" s="25">
        <v>0.44328400000000001</v>
      </c>
      <c r="E22" s="25">
        <v>0.85970000000000002</v>
      </c>
      <c r="F22" s="25">
        <v>1.0326E-2</v>
      </c>
      <c r="G22" s="26">
        <v>-0.93575699999999995</v>
      </c>
    </row>
    <row r="23" spans="1:7" ht="15" customHeight="1" x14ac:dyDescent="0.3">
      <c r="A23" s="6">
        <v>19</v>
      </c>
      <c r="B23" s="18">
        <v>0.92177600000000004</v>
      </c>
      <c r="C23" s="18">
        <v>0.931871</v>
      </c>
      <c r="D23" s="18">
        <v>0.41487600000000002</v>
      </c>
      <c r="E23" s="18">
        <v>0.59505699999999995</v>
      </c>
      <c r="F23" s="18">
        <v>0.735626</v>
      </c>
      <c r="G23" s="19">
        <v>-2.1557680000000001</v>
      </c>
    </row>
    <row r="24" spans="1:7" ht="15" customHeight="1" x14ac:dyDescent="0.3">
      <c r="A24" s="2">
        <v>20</v>
      </c>
      <c r="B24" s="25">
        <v>0.12667900000000001</v>
      </c>
      <c r="C24" s="25">
        <v>0.29147000000000001</v>
      </c>
      <c r="D24" s="25">
        <v>6.4528000000000002E-2</v>
      </c>
      <c r="E24" s="25">
        <v>0.68051499999999998</v>
      </c>
      <c r="F24" s="25">
        <v>0.89281900000000003</v>
      </c>
      <c r="G24" s="19">
        <v>-1.746882</v>
      </c>
    </row>
    <row r="27" spans="1:7" ht="18" customHeight="1" x14ac:dyDescent="0.3">
      <c r="A27" s="33" t="s">
        <v>77</v>
      </c>
      <c r="B27" s="29"/>
      <c r="C27" s="29"/>
      <c r="D27" s="29"/>
      <c r="E27" s="29"/>
      <c r="F27" s="29"/>
      <c r="G27" s="29"/>
    </row>
    <row r="28" spans="1:7" ht="18" customHeight="1" x14ac:dyDescent="0.3">
      <c r="A28" s="20" t="s">
        <v>53</v>
      </c>
      <c r="B28" s="20" t="s">
        <v>54</v>
      </c>
      <c r="C28" s="20" t="s">
        <v>55</v>
      </c>
      <c r="D28" s="20" t="s">
        <v>56</v>
      </c>
      <c r="E28" s="20" t="s">
        <v>57</v>
      </c>
      <c r="F28" s="20" t="s">
        <v>7</v>
      </c>
    </row>
    <row r="29" spans="1:7" ht="18" customHeight="1" x14ac:dyDescent="0.3">
      <c r="A29" s="10">
        <v>-0.13004599999999999</v>
      </c>
      <c r="B29" s="10">
        <v>-0.13797000000000001</v>
      </c>
      <c r="C29" s="7">
        <v>9.3884999999999996E-2</v>
      </c>
      <c r="D29" s="7">
        <v>0.171704</v>
      </c>
      <c r="E29" s="10">
        <v>-0.24384600000000001</v>
      </c>
      <c r="F29" s="7">
        <v>0.64729999999999999</v>
      </c>
    </row>
    <row r="30" spans="1:7" ht="18" customHeight="1" x14ac:dyDescent="0.3">
      <c r="A30" s="21" t="s">
        <v>78</v>
      </c>
      <c r="B30" s="21" t="s">
        <v>78</v>
      </c>
      <c r="C30" s="27" t="s">
        <v>89</v>
      </c>
      <c r="D30" s="27" t="s">
        <v>89</v>
      </c>
      <c r="E30" s="21" t="s">
        <v>78</v>
      </c>
      <c r="F30" s="27" t="s">
        <v>90</v>
      </c>
    </row>
    <row r="32" spans="1:7" ht="18" customHeight="1" x14ac:dyDescent="0.3">
      <c r="A32" s="31" t="s">
        <v>80</v>
      </c>
      <c r="B32" s="29"/>
      <c r="C32" s="29"/>
      <c r="D32" s="29"/>
      <c r="E32" s="29"/>
      <c r="F32" s="29"/>
      <c r="G32" s="29"/>
    </row>
    <row r="33" spans="1:5" ht="18" customHeight="1" x14ac:dyDescent="0.3">
      <c r="A33" s="20" t="s">
        <v>12</v>
      </c>
      <c r="B33" s="20" t="s">
        <v>81</v>
      </c>
      <c r="C33" s="20" t="s">
        <v>82</v>
      </c>
      <c r="D33" s="20" t="s">
        <v>83</v>
      </c>
      <c r="E33" s="20" t="s">
        <v>84</v>
      </c>
    </row>
    <row r="34" spans="1:5" ht="18" customHeight="1" x14ac:dyDescent="0.3">
      <c r="A34" s="7" t="s">
        <v>29</v>
      </c>
      <c r="B34" s="7" t="s">
        <v>40</v>
      </c>
      <c r="C34" s="7">
        <v>-0.29705900000000002</v>
      </c>
      <c r="D34" s="7" t="s">
        <v>102</v>
      </c>
      <c r="E34" s="7" t="s">
        <v>87</v>
      </c>
    </row>
    <row r="35" spans="1:5" ht="18" customHeight="1" x14ac:dyDescent="0.3">
      <c r="A35" s="2" t="s">
        <v>19</v>
      </c>
      <c r="B35" s="2" t="s">
        <v>41</v>
      </c>
      <c r="C35" s="2" t="s">
        <v>86</v>
      </c>
      <c r="D35" s="2" t="s">
        <v>86</v>
      </c>
      <c r="E35" s="23"/>
    </row>
  </sheetData>
  <mergeCells count="4">
    <mergeCell ref="A27:G27"/>
    <mergeCell ref="A32:G32"/>
    <mergeCell ref="A3:G3"/>
    <mergeCell ref="A1:G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showGridLines="0" topLeftCell="A12" workbookViewId="0">
      <selection activeCell="H5" sqref="H5:H34"/>
    </sheetView>
  </sheetViews>
  <sheetFormatPr defaultRowHeight="14.4" x14ac:dyDescent="0.3"/>
  <cols>
    <col min="1" max="1" width="8" customWidth="1"/>
    <col min="2" max="7" width="15" customWidth="1"/>
    <col min="8" max="8" width="18" customWidth="1"/>
  </cols>
  <sheetData>
    <row r="1" spans="1:8" ht="24" customHeight="1" x14ac:dyDescent="0.3">
      <c r="A1" s="32" t="s">
        <v>103</v>
      </c>
      <c r="B1" s="29"/>
      <c r="C1" s="29"/>
      <c r="D1" s="29"/>
      <c r="E1" s="29"/>
      <c r="F1" s="29"/>
      <c r="G1" s="29"/>
      <c r="H1" s="29"/>
    </row>
    <row r="2" spans="1:8" ht="7.95" customHeight="1" x14ac:dyDescent="0.3"/>
    <row r="3" spans="1:8" ht="18" customHeight="1" x14ac:dyDescent="0.3">
      <c r="A3" s="33" t="s">
        <v>72</v>
      </c>
      <c r="B3" s="29"/>
      <c r="C3" s="29"/>
      <c r="D3" s="29"/>
      <c r="E3" s="29"/>
      <c r="F3" s="29"/>
      <c r="G3" s="29"/>
      <c r="H3" s="29"/>
    </row>
    <row r="4" spans="1:8" ht="18" customHeight="1" x14ac:dyDescent="0.3">
      <c r="A4" s="8" t="s">
        <v>73</v>
      </c>
      <c r="B4" s="8" t="s">
        <v>74</v>
      </c>
      <c r="C4" s="8" t="s">
        <v>75</v>
      </c>
      <c r="D4" s="8" t="s">
        <v>93</v>
      </c>
      <c r="E4" s="8" t="s">
        <v>96</v>
      </c>
      <c r="F4" s="8" t="s">
        <v>101</v>
      </c>
      <c r="G4" s="8" t="s">
        <v>104</v>
      </c>
      <c r="H4" s="14" t="s">
        <v>76</v>
      </c>
    </row>
    <row r="5" spans="1:8" ht="15" customHeight="1" x14ac:dyDescent="0.3">
      <c r="A5" s="6">
        <v>1</v>
      </c>
      <c r="B5" s="18">
        <v>0.27262399999999998</v>
      </c>
      <c r="C5" s="18">
        <v>0.32449499999999998</v>
      </c>
      <c r="D5" s="18">
        <v>0.89710900000000005</v>
      </c>
      <c r="E5" s="18">
        <v>0.832951</v>
      </c>
      <c r="F5" s="18">
        <v>0.15406300000000001</v>
      </c>
      <c r="G5" s="18">
        <v>0.79586400000000002</v>
      </c>
      <c r="H5" s="24">
        <v>0.604433</v>
      </c>
    </row>
    <row r="6" spans="1:8" ht="15" customHeight="1" x14ac:dyDescent="0.3">
      <c r="A6" s="2">
        <v>2</v>
      </c>
      <c r="B6" s="25">
        <v>0.54300300000000001</v>
      </c>
      <c r="C6" s="25">
        <v>0.92469400000000002</v>
      </c>
      <c r="D6" s="25">
        <v>0.34156700000000001</v>
      </c>
      <c r="E6" s="25">
        <v>0.64648600000000001</v>
      </c>
      <c r="F6" s="25">
        <v>0.71843999999999997</v>
      </c>
      <c r="G6" s="25">
        <v>0.34313300000000002</v>
      </c>
      <c r="H6" s="26">
        <v>0.56275299999999995</v>
      </c>
    </row>
    <row r="7" spans="1:8" ht="15" customHeight="1" x14ac:dyDescent="0.3">
      <c r="A7" s="6">
        <v>3</v>
      </c>
      <c r="B7" s="18">
        <v>9.0831999999999996E-2</v>
      </c>
      <c r="C7" s="18">
        <v>0.66152900000000003</v>
      </c>
      <c r="D7" s="18">
        <v>6.5931000000000003E-2</v>
      </c>
      <c r="E7" s="18">
        <v>0.258577</v>
      </c>
      <c r="F7" s="18">
        <v>0.963453</v>
      </c>
      <c r="G7" s="18">
        <v>0.64026499999999997</v>
      </c>
      <c r="H7" s="19">
        <v>7.5030000000000001E-3</v>
      </c>
    </row>
    <row r="8" spans="1:8" ht="15" customHeight="1" x14ac:dyDescent="0.3">
      <c r="A8" s="2">
        <v>4</v>
      </c>
      <c r="B8" s="25">
        <v>0.118867</v>
      </c>
      <c r="C8" s="25">
        <v>0.61505500000000002</v>
      </c>
      <c r="D8" s="25">
        <v>0.90581599999999995</v>
      </c>
      <c r="E8" s="25">
        <v>0.85529999999999995</v>
      </c>
      <c r="F8" s="25">
        <v>0.41363100000000003</v>
      </c>
      <c r="G8" s="25">
        <v>0.58523599999999998</v>
      </c>
      <c r="H8" s="19">
        <v>6.1423999999999999E-2</v>
      </c>
    </row>
    <row r="9" spans="1:8" ht="15" customHeight="1" x14ac:dyDescent="0.3">
      <c r="A9" s="6">
        <v>5</v>
      </c>
      <c r="B9" s="18">
        <v>0.63021799999999994</v>
      </c>
      <c r="C9" s="18">
        <v>0.83809699999999998</v>
      </c>
      <c r="D9" s="18">
        <v>0.68001299999999998</v>
      </c>
      <c r="E9" s="18">
        <v>0.73189499999999996</v>
      </c>
      <c r="F9" s="18">
        <v>0.52673700000000001</v>
      </c>
      <c r="G9" s="18">
        <v>0.34842899999999999</v>
      </c>
      <c r="H9" s="24">
        <v>0.27304699999999998</v>
      </c>
    </row>
    <row r="10" spans="1:8" ht="15" customHeight="1" x14ac:dyDescent="0.3">
      <c r="A10" s="2">
        <v>6</v>
      </c>
      <c r="B10" s="25">
        <v>0.76491900000000002</v>
      </c>
      <c r="C10" s="25">
        <v>0.25588300000000003</v>
      </c>
      <c r="D10" s="25">
        <v>0.60908399999999996</v>
      </c>
      <c r="E10" s="25">
        <v>0.218079</v>
      </c>
      <c r="F10" s="25">
        <v>0.32294299999999998</v>
      </c>
      <c r="G10" s="25">
        <v>9.5794000000000004E-2</v>
      </c>
      <c r="H10" s="19">
        <v>8.3747000000000002E-2</v>
      </c>
    </row>
    <row r="11" spans="1:8" ht="15" customHeight="1" x14ac:dyDescent="0.3">
      <c r="A11" s="15">
        <v>7</v>
      </c>
      <c r="B11" s="16">
        <v>5.7896000000000003E-2</v>
      </c>
      <c r="C11" s="16">
        <v>0.491672</v>
      </c>
      <c r="D11" s="16">
        <v>0.247422</v>
      </c>
      <c r="E11" s="16">
        <v>0.21811800000000001</v>
      </c>
      <c r="F11" s="16">
        <v>0.42042800000000002</v>
      </c>
      <c r="G11" s="16">
        <v>0.73097000000000001</v>
      </c>
      <c r="H11" s="17">
        <v>1.364968</v>
      </c>
    </row>
    <row r="12" spans="1:8" ht="15" customHeight="1" x14ac:dyDescent="0.3">
      <c r="A12" s="2">
        <v>8</v>
      </c>
      <c r="B12" s="25">
        <v>0.19525200000000001</v>
      </c>
      <c r="C12" s="25">
        <v>7.9227000000000006E-2</v>
      </c>
      <c r="D12" s="25">
        <v>0.55457999999999996</v>
      </c>
      <c r="E12" s="25">
        <v>0.170567</v>
      </c>
      <c r="F12" s="25">
        <v>1.4944000000000001E-2</v>
      </c>
      <c r="G12" s="25">
        <v>0.107032</v>
      </c>
      <c r="H12" s="19">
        <v>9.2645000000000005E-2</v>
      </c>
    </row>
    <row r="13" spans="1:8" ht="15" customHeight="1" x14ac:dyDescent="0.3">
      <c r="A13" s="6">
        <v>9</v>
      </c>
      <c r="B13" s="18">
        <v>0.64230299999999996</v>
      </c>
      <c r="C13" s="18">
        <v>0.83687500000000004</v>
      </c>
      <c r="D13" s="18">
        <v>2.1793E-2</v>
      </c>
      <c r="E13" s="18">
        <v>0.10148799999999999</v>
      </c>
      <c r="F13" s="18">
        <v>0.68307099999999998</v>
      </c>
      <c r="G13" s="18">
        <v>0.69241600000000003</v>
      </c>
      <c r="H13" s="19">
        <v>1.787E-2</v>
      </c>
    </row>
    <row r="14" spans="1:8" ht="15" customHeight="1" x14ac:dyDescent="0.3">
      <c r="A14" s="2">
        <v>10</v>
      </c>
      <c r="B14" s="25">
        <v>0.78994299999999995</v>
      </c>
      <c r="C14" s="25">
        <v>0.195545</v>
      </c>
      <c r="D14" s="25">
        <v>0.575623</v>
      </c>
      <c r="E14" s="25">
        <v>7.3659000000000002E-2</v>
      </c>
      <c r="F14" s="25">
        <v>0.25904899999999997</v>
      </c>
      <c r="G14" s="25">
        <v>5.11E-2</v>
      </c>
      <c r="H14" s="19">
        <v>3.3564999999999998E-2</v>
      </c>
    </row>
    <row r="15" spans="1:8" ht="15" customHeight="1" x14ac:dyDescent="0.3">
      <c r="A15" s="6">
        <v>11</v>
      </c>
      <c r="B15" s="18">
        <v>0.52849699999999999</v>
      </c>
      <c r="C15" s="18">
        <v>0.457424</v>
      </c>
      <c r="D15" s="18">
        <v>0.36009600000000003</v>
      </c>
      <c r="E15" s="18">
        <v>0.36204599999999998</v>
      </c>
      <c r="F15" s="18">
        <v>0.81689100000000003</v>
      </c>
      <c r="G15" s="18">
        <v>0.63747600000000004</v>
      </c>
      <c r="H15" s="19">
        <v>7.3515999999999998E-2</v>
      </c>
    </row>
    <row r="16" spans="1:8" ht="15" customHeight="1" x14ac:dyDescent="0.3">
      <c r="A16" s="2">
        <v>12</v>
      </c>
      <c r="B16" s="25">
        <v>0.72261500000000001</v>
      </c>
      <c r="C16" s="25">
        <v>1.1813000000000001E-2</v>
      </c>
      <c r="D16" s="25">
        <v>6.3645999999999994E-2</v>
      </c>
      <c r="E16" s="25">
        <v>0.16517299999999999</v>
      </c>
      <c r="F16" s="25">
        <v>7.9243999999999995E-2</v>
      </c>
      <c r="G16" s="25">
        <v>0.35995199999999999</v>
      </c>
      <c r="H16" s="19">
        <v>0.20630999999999999</v>
      </c>
    </row>
    <row r="17" spans="1:8" ht="15" customHeight="1" x14ac:dyDescent="0.3">
      <c r="A17" s="6">
        <v>13</v>
      </c>
      <c r="B17" s="18">
        <v>7.5664999999999996E-2</v>
      </c>
      <c r="C17" s="18">
        <v>0.33450200000000002</v>
      </c>
      <c r="D17" s="18">
        <v>0.13273299999999999</v>
      </c>
      <c r="E17" s="18">
        <v>0.60831199999999996</v>
      </c>
      <c r="F17" s="18">
        <v>0.91838600000000004</v>
      </c>
      <c r="G17" s="18">
        <v>0.82233100000000003</v>
      </c>
      <c r="H17" s="19">
        <v>8.8260000000000005E-3</v>
      </c>
    </row>
    <row r="18" spans="1:8" ht="15" customHeight="1" x14ac:dyDescent="0.3">
      <c r="A18" s="2">
        <v>14</v>
      </c>
      <c r="B18" s="25">
        <v>0.94245100000000004</v>
      </c>
      <c r="C18" s="25">
        <v>0.37744</v>
      </c>
      <c r="D18" s="25">
        <v>0.486122</v>
      </c>
      <c r="E18" s="25">
        <v>0.22879099999999999</v>
      </c>
      <c r="F18" s="25">
        <v>8.2631999999999997E-2</v>
      </c>
      <c r="G18" s="25">
        <v>0.71195799999999998</v>
      </c>
      <c r="H18" s="26">
        <v>0.26840000000000003</v>
      </c>
    </row>
    <row r="19" spans="1:8" ht="15" customHeight="1" x14ac:dyDescent="0.3">
      <c r="A19" s="6">
        <v>15</v>
      </c>
      <c r="B19" s="18">
        <v>0.148647</v>
      </c>
      <c r="C19" s="18">
        <v>3.3943000000000001E-2</v>
      </c>
      <c r="D19" s="18">
        <v>0.72880599999999995</v>
      </c>
      <c r="E19" s="18">
        <v>0.31606600000000001</v>
      </c>
      <c r="F19" s="18">
        <v>2.1769E-2</v>
      </c>
      <c r="G19" s="18">
        <v>0.51691799999999999</v>
      </c>
      <c r="H19" s="24">
        <v>0.61152600000000001</v>
      </c>
    </row>
    <row r="20" spans="1:8" ht="15" customHeight="1" x14ac:dyDescent="0.3">
      <c r="A20" s="2">
        <v>16</v>
      </c>
      <c r="B20" s="25">
        <v>0.81711199999999995</v>
      </c>
      <c r="C20" s="25">
        <v>0.54816799999999999</v>
      </c>
      <c r="D20" s="25">
        <v>0.103348</v>
      </c>
      <c r="E20" s="25">
        <v>0.12436999999999999</v>
      </c>
      <c r="F20" s="25">
        <v>0.72823499999999997</v>
      </c>
      <c r="G20" s="25">
        <v>0.44967400000000002</v>
      </c>
      <c r="H20" s="19">
        <v>1.4798E-2</v>
      </c>
    </row>
    <row r="21" spans="1:8" ht="15" customHeight="1" x14ac:dyDescent="0.3">
      <c r="A21" s="6">
        <v>17</v>
      </c>
      <c r="B21" s="18">
        <v>0.417626</v>
      </c>
      <c r="C21" s="18">
        <v>6.4100000000000004E-2</v>
      </c>
      <c r="D21" s="18">
        <v>0.245669</v>
      </c>
      <c r="E21" s="18">
        <v>0.55904100000000001</v>
      </c>
      <c r="F21" s="18">
        <v>0.19153100000000001</v>
      </c>
      <c r="G21" s="18">
        <v>0.25464100000000001</v>
      </c>
      <c r="H21" s="24">
        <v>0.274893</v>
      </c>
    </row>
    <row r="22" spans="1:8" ht="15" customHeight="1" x14ac:dyDescent="0.3">
      <c r="A22" s="2">
        <v>18</v>
      </c>
      <c r="B22" s="25">
        <v>0.72628599999999999</v>
      </c>
      <c r="C22" s="25">
        <v>0.46489599999999998</v>
      </c>
      <c r="D22" s="25">
        <v>0.92457100000000003</v>
      </c>
      <c r="E22" s="25">
        <v>0.80724499999999999</v>
      </c>
      <c r="F22" s="25">
        <v>0.63543799999999995</v>
      </c>
      <c r="G22" s="25">
        <v>0.14341799999999999</v>
      </c>
      <c r="H22" s="19">
        <v>6.6763000000000003E-2</v>
      </c>
    </row>
    <row r="23" spans="1:8" ht="15" customHeight="1" x14ac:dyDescent="0.3">
      <c r="A23" s="6">
        <v>19</v>
      </c>
      <c r="B23" s="18">
        <v>0.31980999999999998</v>
      </c>
      <c r="C23" s="18">
        <v>0.52009799999999995</v>
      </c>
      <c r="D23" s="18">
        <v>0.29067799999999999</v>
      </c>
      <c r="E23" s="18">
        <v>0.87670700000000001</v>
      </c>
      <c r="F23" s="18">
        <v>0.495035</v>
      </c>
      <c r="G23" s="18">
        <v>0.61908200000000002</v>
      </c>
      <c r="H23" s="19">
        <v>4.2118000000000003E-2</v>
      </c>
    </row>
    <row r="24" spans="1:8" ht="15" customHeight="1" x14ac:dyDescent="0.3">
      <c r="A24" s="2">
        <v>20</v>
      </c>
      <c r="B24" s="25">
        <v>0.87987099999999996</v>
      </c>
      <c r="C24" s="25">
        <v>0.39796199999999998</v>
      </c>
      <c r="D24" s="25">
        <v>3.6350000000000002E-3</v>
      </c>
      <c r="E24" s="25">
        <v>0.95699100000000004</v>
      </c>
      <c r="F24" s="25">
        <v>0.26451400000000003</v>
      </c>
      <c r="G24" s="25">
        <v>0.114869</v>
      </c>
      <c r="H24" s="19">
        <v>2.7009999999999998E-3</v>
      </c>
    </row>
    <row r="25" spans="1:8" ht="15" customHeight="1" x14ac:dyDescent="0.3">
      <c r="A25" s="6">
        <v>21</v>
      </c>
      <c r="B25" s="18">
        <v>0.54124099999999997</v>
      </c>
      <c r="C25" s="18">
        <v>0.63140300000000005</v>
      </c>
      <c r="D25" s="18">
        <v>3.1902E-2</v>
      </c>
      <c r="E25" s="18">
        <v>0.44998199999999999</v>
      </c>
      <c r="F25" s="18">
        <v>0.79865299999999995</v>
      </c>
      <c r="G25" s="18">
        <v>0.63370400000000005</v>
      </c>
      <c r="H25" s="19">
        <v>1.8208999999999999E-2</v>
      </c>
    </row>
    <row r="26" spans="1:8" ht="15" customHeight="1" x14ac:dyDescent="0.3">
      <c r="A26" s="2">
        <v>22</v>
      </c>
      <c r="B26" s="25">
        <v>0.22634799999999999</v>
      </c>
      <c r="C26" s="25">
        <v>0.115026</v>
      </c>
      <c r="D26" s="25">
        <v>0.82474999999999998</v>
      </c>
      <c r="E26" s="25">
        <v>0.945384</v>
      </c>
      <c r="F26" s="25">
        <v>0.90531200000000001</v>
      </c>
      <c r="G26" s="25">
        <v>0.95101400000000003</v>
      </c>
      <c r="H26" s="19">
        <v>7.0159999999999997E-3</v>
      </c>
    </row>
    <row r="27" spans="1:8" ht="15" customHeight="1" x14ac:dyDescent="0.3">
      <c r="A27" s="6">
        <v>23</v>
      </c>
      <c r="B27" s="18">
        <v>0.68685300000000005</v>
      </c>
      <c r="C27" s="18">
        <v>4.1016999999999998E-2</v>
      </c>
      <c r="D27" s="18">
        <v>7.5729999999999999E-3</v>
      </c>
      <c r="E27" s="18">
        <v>0.28500900000000001</v>
      </c>
      <c r="F27" s="18">
        <v>0.69156799999999996</v>
      </c>
      <c r="G27" s="18">
        <v>0.65554299999999999</v>
      </c>
      <c r="H27" s="19">
        <v>0.100507</v>
      </c>
    </row>
    <row r="28" spans="1:8" ht="15" customHeight="1" x14ac:dyDescent="0.3">
      <c r="A28" s="2">
        <v>24</v>
      </c>
      <c r="B28" s="25">
        <v>0.175978</v>
      </c>
      <c r="C28" s="25">
        <v>0.62441599999999997</v>
      </c>
      <c r="D28" s="25">
        <v>0.29554200000000003</v>
      </c>
      <c r="E28" s="25">
        <v>0.469553</v>
      </c>
      <c r="F28" s="25">
        <v>9.7769999999999996E-2</v>
      </c>
      <c r="G28" s="25">
        <v>0.72814100000000004</v>
      </c>
      <c r="H28" s="26">
        <v>0.47539599999999999</v>
      </c>
    </row>
    <row r="29" spans="1:8" ht="15" customHeight="1" x14ac:dyDescent="0.3">
      <c r="A29" s="6">
        <v>25</v>
      </c>
      <c r="B29" s="18">
        <v>0.88164699999999996</v>
      </c>
      <c r="C29" s="18">
        <v>0.20444999999999999</v>
      </c>
      <c r="D29" s="18">
        <v>0.41447400000000001</v>
      </c>
      <c r="E29" s="18">
        <v>0.42038500000000001</v>
      </c>
      <c r="F29" s="18">
        <v>0.26491500000000001</v>
      </c>
      <c r="G29" s="18">
        <v>0.73065999999999998</v>
      </c>
      <c r="H29" s="24">
        <v>0.67514200000000002</v>
      </c>
    </row>
    <row r="30" spans="1:8" ht="15" customHeight="1" x14ac:dyDescent="0.3">
      <c r="A30" s="2">
        <v>26</v>
      </c>
      <c r="B30" s="25">
        <v>6.6611000000000004E-2</v>
      </c>
      <c r="C30" s="25">
        <v>0.52804499999999999</v>
      </c>
      <c r="D30" s="25">
        <v>0.81609500000000001</v>
      </c>
      <c r="E30" s="25">
        <v>0.96101700000000001</v>
      </c>
      <c r="F30" s="25">
        <v>8.6509000000000003E-2</v>
      </c>
      <c r="G30" s="25">
        <v>0.77778800000000003</v>
      </c>
      <c r="H30" s="26">
        <v>0.51645700000000005</v>
      </c>
    </row>
    <row r="31" spans="1:8" ht="15" customHeight="1" x14ac:dyDescent="0.3">
      <c r="A31" s="6">
        <v>27</v>
      </c>
      <c r="B31" s="18">
        <v>0.93246600000000002</v>
      </c>
      <c r="C31" s="18">
        <v>0.48881200000000002</v>
      </c>
      <c r="D31" s="18">
        <v>0.258608</v>
      </c>
      <c r="E31" s="18">
        <v>0.95624299999999995</v>
      </c>
      <c r="F31" s="18">
        <v>0.19042799999999999</v>
      </c>
      <c r="G31" s="18">
        <v>0.51985199999999998</v>
      </c>
      <c r="H31" s="19">
        <v>3.777E-3</v>
      </c>
    </row>
    <row r="32" spans="1:8" ht="15" customHeight="1" x14ac:dyDescent="0.3">
      <c r="A32" s="2">
        <v>28</v>
      </c>
      <c r="B32" s="25">
        <v>0.84686700000000004</v>
      </c>
      <c r="C32" s="25">
        <v>0.142429</v>
      </c>
      <c r="D32" s="25">
        <v>6.0669000000000001E-2</v>
      </c>
      <c r="E32" s="25">
        <v>0.75629199999999996</v>
      </c>
      <c r="F32" s="25">
        <v>0.55239799999999994</v>
      </c>
      <c r="G32" s="25">
        <v>8.1306000000000003E-2</v>
      </c>
      <c r="H32" s="19">
        <v>3.1340000000000001E-3</v>
      </c>
    </row>
    <row r="33" spans="1:8" ht="15" customHeight="1" x14ac:dyDescent="0.3">
      <c r="A33" s="6">
        <v>29</v>
      </c>
      <c r="B33" s="18">
        <v>0.80628200000000005</v>
      </c>
      <c r="C33" s="18">
        <v>0.32412200000000002</v>
      </c>
      <c r="D33" s="18">
        <v>0.72607600000000005</v>
      </c>
      <c r="E33" s="18">
        <v>0.14871200000000001</v>
      </c>
      <c r="F33" s="18">
        <v>0.71937600000000002</v>
      </c>
      <c r="G33" s="18">
        <v>0.36288399999999998</v>
      </c>
      <c r="H33" s="19">
        <v>2.1343000000000001E-2</v>
      </c>
    </row>
    <row r="34" spans="1:8" ht="15" customHeight="1" x14ac:dyDescent="0.3">
      <c r="A34" s="2">
        <v>30</v>
      </c>
      <c r="B34" s="25">
        <v>0.476823</v>
      </c>
      <c r="C34" s="25">
        <v>0.34094200000000002</v>
      </c>
      <c r="D34" s="25">
        <v>1.4335000000000001E-2</v>
      </c>
      <c r="E34" s="25">
        <v>0.88014000000000003</v>
      </c>
      <c r="F34" s="25">
        <v>0.99865499999999996</v>
      </c>
      <c r="G34" s="25">
        <v>7.9663999999999999E-2</v>
      </c>
      <c r="H34" s="19">
        <v>9.5410999999999996E-2</v>
      </c>
    </row>
    <row r="37" spans="1:8" ht="18" customHeight="1" x14ac:dyDescent="0.3">
      <c r="A37" s="33" t="s">
        <v>77</v>
      </c>
      <c r="B37" s="29"/>
      <c r="C37" s="29"/>
      <c r="D37" s="29"/>
      <c r="E37" s="29"/>
      <c r="F37" s="29"/>
      <c r="G37" s="29"/>
      <c r="H37" s="29"/>
    </row>
    <row r="38" spans="1:8" ht="18" customHeight="1" x14ac:dyDescent="0.3">
      <c r="A38" s="20" t="s">
        <v>53</v>
      </c>
      <c r="B38" s="20" t="s">
        <v>54</v>
      </c>
      <c r="C38" s="20" t="s">
        <v>55</v>
      </c>
      <c r="D38" s="20" t="s">
        <v>56</v>
      </c>
      <c r="E38" s="20" t="s">
        <v>57</v>
      </c>
      <c r="F38" s="20" t="s">
        <v>58</v>
      </c>
      <c r="G38" s="20" t="s">
        <v>7</v>
      </c>
    </row>
    <row r="39" spans="1:8" ht="18" customHeight="1" x14ac:dyDescent="0.3">
      <c r="A39" s="10">
        <v>-8.2905999999999994E-2</v>
      </c>
      <c r="B39" s="7">
        <v>4.4344000000000001E-2</v>
      </c>
      <c r="C39" s="7">
        <v>2.61E-4</v>
      </c>
      <c r="D39" s="10">
        <v>-3.9417000000000001E-2</v>
      </c>
      <c r="E39" s="10">
        <v>-0.13576099999999999</v>
      </c>
      <c r="F39" s="7">
        <v>6.3975000000000004E-2</v>
      </c>
      <c r="G39" s="7">
        <v>0.34620000000000001</v>
      </c>
    </row>
    <row r="40" spans="1:8" ht="18" customHeight="1" x14ac:dyDescent="0.3">
      <c r="A40" s="21" t="s">
        <v>78</v>
      </c>
      <c r="B40" s="27" t="s">
        <v>89</v>
      </c>
      <c r="C40" s="27" t="s">
        <v>89</v>
      </c>
      <c r="D40" s="21" t="s">
        <v>78</v>
      </c>
      <c r="E40" s="21" t="s">
        <v>78</v>
      </c>
      <c r="F40" s="27" t="s">
        <v>89</v>
      </c>
      <c r="G40" s="27" t="s">
        <v>90</v>
      </c>
    </row>
    <row r="42" spans="1:8" ht="18" customHeight="1" x14ac:dyDescent="0.3">
      <c r="A42" s="31" t="s">
        <v>80</v>
      </c>
      <c r="B42" s="29"/>
      <c r="C42" s="29"/>
      <c r="D42" s="29"/>
      <c r="E42" s="29"/>
      <c r="F42" s="29"/>
      <c r="G42" s="29"/>
      <c r="H42" s="29"/>
    </row>
    <row r="43" spans="1:8" ht="18" customHeight="1" x14ac:dyDescent="0.3">
      <c r="A43" s="20" t="s">
        <v>12</v>
      </c>
      <c r="B43" s="20" t="s">
        <v>81</v>
      </c>
      <c r="C43" s="20" t="s">
        <v>82</v>
      </c>
      <c r="D43" s="20" t="s">
        <v>83</v>
      </c>
      <c r="E43" s="20" t="s">
        <v>84</v>
      </c>
    </row>
    <row r="44" spans="1:8" ht="18" customHeight="1" x14ac:dyDescent="0.3">
      <c r="A44" s="2" t="s">
        <v>29</v>
      </c>
      <c r="B44" s="2" t="s">
        <v>44</v>
      </c>
      <c r="C44" s="2">
        <v>0.801817</v>
      </c>
      <c r="D44" s="2" t="s">
        <v>105</v>
      </c>
      <c r="E44" s="23"/>
    </row>
    <row r="45" spans="1:8" ht="18" customHeight="1" x14ac:dyDescent="0.3">
      <c r="A45" s="7" t="s">
        <v>19</v>
      </c>
      <c r="B45" s="7" t="s">
        <v>45</v>
      </c>
      <c r="C45" s="7" t="s">
        <v>86</v>
      </c>
      <c r="D45" s="7" t="s">
        <v>86</v>
      </c>
      <c r="E45" s="7" t="s">
        <v>87</v>
      </c>
    </row>
  </sheetData>
  <mergeCells count="4">
    <mergeCell ref="A37:H37"/>
    <mergeCell ref="A3:H3"/>
    <mergeCell ref="A42:H42"/>
    <mergeCell ref="A1:H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5"/>
  <sheetViews>
    <sheetView showGridLines="0" workbookViewId="0">
      <selection activeCell="J5" sqref="J5:J44"/>
    </sheetView>
  </sheetViews>
  <sheetFormatPr defaultRowHeight="14.4" x14ac:dyDescent="0.3"/>
  <cols>
    <col min="1" max="1" width="8" customWidth="1"/>
    <col min="2" max="9" width="15" customWidth="1"/>
    <col min="10" max="10" width="18" customWidth="1"/>
  </cols>
  <sheetData>
    <row r="1" spans="1:10" ht="24" customHeight="1" x14ac:dyDescent="0.3">
      <c r="A1" s="32" t="s">
        <v>106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7.95" customHeight="1" x14ac:dyDescent="0.3"/>
    <row r="3" spans="1:10" ht="18" customHeight="1" x14ac:dyDescent="0.3">
      <c r="A3" s="33" t="s">
        <v>72</v>
      </c>
      <c r="B3" s="29"/>
      <c r="C3" s="29"/>
      <c r="D3" s="29"/>
      <c r="E3" s="29"/>
      <c r="F3" s="29"/>
      <c r="G3" s="29"/>
      <c r="H3" s="29"/>
      <c r="I3" s="29"/>
      <c r="J3" s="29"/>
    </row>
    <row r="4" spans="1:10" ht="18" customHeight="1" x14ac:dyDescent="0.3">
      <c r="A4" s="8" t="s">
        <v>73</v>
      </c>
      <c r="B4" s="8" t="s">
        <v>74</v>
      </c>
      <c r="C4" s="8" t="s">
        <v>75</v>
      </c>
      <c r="D4" s="8" t="s">
        <v>93</v>
      </c>
      <c r="E4" s="8" t="s">
        <v>96</v>
      </c>
      <c r="F4" s="8" t="s">
        <v>101</v>
      </c>
      <c r="G4" s="8" t="s">
        <v>104</v>
      </c>
      <c r="H4" s="8" t="s">
        <v>107</v>
      </c>
      <c r="I4" s="8" t="s">
        <v>108</v>
      </c>
      <c r="J4" s="14" t="s">
        <v>76</v>
      </c>
    </row>
    <row r="5" spans="1:10" ht="15" customHeight="1" x14ac:dyDescent="0.3">
      <c r="A5" s="6">
        <v>1</v>
      </c>
      <c r="B5" s="18">
        <v>0.60499400000000003</v>
      </c>
      <c r="C5" s="18">
        <v>0.292215</v>
      </c>
      <c r="D5" s="18">
        <v>0.90845299999999995</v>
      </c>
      <c r="E5" s="18">
        <v>0.35550599999999999</v>
      </c>
      <c r="F5" s="18">
        <v>0.20166899999999999</v>
      </c>
      <c r="G5" s="18">
        <v>0.57533800000000002</v>
      </c>
      <c r="H5" s="18">
        <v>0.310311</v>
      </c>
      <c r="I5" s="18">
        <v>0.73428099999999996</v>
      </c>
      <c r="J5" s="19">
        <v>7.3987210000000001</v>
      </c>
    </row>
    <row r="6" spans="1:10" ht="15" customHeight="1" x14ac:dyDescent="0.3">
      <c r="A6" s="2">
        <v>2</v>
      </c>
      <c r="B6" s="25">
        <v>0.178007</v>
      </c>
      <c r="C6" s="25">
        <v>0.56622300000000003</v>
      </c>
      <c r="D6" s="25">
        <v>0.99486200000000002</v>
      </c>
      <c r="E6" s="25">
        <v>0.21032500000000001</v>
      </c>
      <c r="F6" s="25">
        <v>0.32015300000000002</v>
      </c>
      <c r="G6" s="25">
        <v>0.70790900000000001</v>
      </c>
      <c r="H6" s="25">
        <v>0.63538399999999995</v>
      </c>
      <c r="I6" s="25">
        <v>0.10713200000000001</v>
      </c>
      <c r="J6" s="19">
        <v>7.0052269999999996</v>
      </c>
    </row>
    <row r="7" spans="1:10" ht="15" customHeight="1" x14ac:dyDescent="0.3">
      <c r="A7" s="6">
        <v>3</v>
      </c>
      <c r="B7" s="18">
        <v>9.077E-3</v>
      </c>
      <c r="C7" s="18">
        <v>0.81162599999999996</v>
      </c>
      <c r="D7" s="18">
        <v>0.52051999999999998</v>
      </c>
      <c r="E7" s="18">
        <v>7.5687000000000004E-2</v>
      </c>
      <c r="F7" s="18">
        <v>0.26511200000000001</v>
      </c>
      <c r="G7" s="18">
        <v>9.1651999999999997E-2</v>
      </c>
      <c r="H7" s="18">
        <v>0.59241500000000002</v>
      </c>
      <c r="I7" s="18">
        <v>0.36731999999999998</v>
      </c>
      <c r="J7" s="24">
        <v>8.4594819999999995</v>
      </c>
    </row>
    <row r="8" spans="1:10" ht="15" customHeight="1" x14ac:dyDescent="0.3">
      <c r="A8" s="2">
        <v>4</v>
      </c>
      <c r="B8" s="25">
        <v>0.50602800000000003</v>
      </c>
      <c r="C8" s="25">
        <v>0.65373000000000003</v>
      </c>
      <c r="D8" s="25">
        <v>0.36341099999999998</v>
      </c>
      <c r="E8" s="25">
        <v>0.177981</v>
      </c>
      <c r="F8" s="25">
        <v>9.3728000000000006E-2</v>
      </c>
      <c r="G8" s="25">
        <v>0.19742499999999999</v>
      </c>
      <c r="H8" s="25">
        <v>0.75582700000000003</v>
      </c>
      <c r="I8" s="25">
        <v>0.29247200000000001</v>
      </c>
      <c r="J8" s="26">
        <v>8.284008</v>
      </c>
    </row>
    <row r="9" spans="1:10" ht="15" customHeight="1" x14ac:dyDescent="0.3">
      <c r="A9" s="6">
        <v>5</v>
      </c>
      <c r="B9" s="18">
        <v>0.35990899999999998</v>
      </c>
      <c r="C9" s="18">
        <v>0.24907599999999999</v>
      </c>
      <c r="D9" s="18">
        <v>0.49599700000000002</v>
      </c>
      <c r="E9" s="18">
        <v>0.70921500000000004</v>
      </c>
      <c r="F9" s="18">
        <v>0.11498700000000001</v>
      </c>
      <c r="G9" s="18">
        <v>0.28920699999999999</v>
      </c>
      <c r="H9" s="18">
        <v>0.55729499999999998</v>
      </c>
      <c r="I9" s="18">
        <v>0.59388200000000002</v>
      </c>
      <c r="J9" s="24">
        <v>8.6061169999999994</v>
      </c>
    </row>
    <row r="10" spans="1:10" ht="15" customHeight="1" x14ac:dyDescent="0.3">
      <c r="A10" s="2">
        <v>6</v>
      </c>
      <c r="B10" s="25">
        <v>0.77881800000000001</v>
      </c>
      <c r="C10" s="25">
        <v>3.4190000000000002E-3</v>
      </c>
      <c r="D10" s="25">
        <v>0.33798299999999998</v>
      </c>
      <c r="E10" s="25">
        <v>0.51952799999999999</v>
      </c>
      <c r="F10" s="25">
        <v>0.82090700000000005</v>
      </c>
      <c r="G10" s="25">
        <v>0.53724700000000003</v>
      </c>
      <c r="H10" s="25">
        <v>0.55134700000000003</v>
      </c>
      <c r="I10" s="25">
        <v>0.66003199999999995</v>
      </c>
      <c r="J10" s="26">
        <v>8.5417480000000001</v>
      </c>
    </row>
    <row r="11" spans="1:10" ht="15" customHeight="1" x14ac:dyDescent="0.3">
      <c r="A11" s="6">
        <v>7</v>
      </c>
      <c r="B11" s="18">
        <v>0.90864900000000004</v>
      </c>
      <c r="C11" s="18">
        <v>6.225E-2</v>
      </c>
      <c r="D11" s="18">
        <v>0.23826</v>
      </c>
      <c r="E11" s="18">
        <v>0.76660399999999995</v>
      </c>
      <c r="F11" s="18">
        <v>0.13233600000000001</v>
      </c>
      <c r="G11" s="18">
        <v>0.99024400000000001</v>
      </c>
      <c r="H11" s="18">
        <v>0.68806800000000001</v>
      </c>
      <c r="I11" s="18">
        <v>0.74249600000000004</v>
      </c>
      <c r="J11" s="19">
        <v>7.3274350000000004</v>
      </c>
    </row>
    <row r="12" spans="1:10" ht="15" customHeight="1" x14ac:dyDescent="0.3">
      <c r="A12" s="2">
        <v>8</v>
      </c>
      <c r="B12" s="25">
        <v>0.58637099999999998</v>
      </c>
      <c r="C12" s="25">
        <v>0.88073599999999996</v>
      </c>
      <c r="D12" s="25">
        <v>0.74502100000000004</v>
      </c>
      <c r="E12" s="25">
        <v>0.54603500000000005</v>
      </c>
      <c r="F12" s="25">
        <v>9.6489999999999996E-3</v>
      </c>
      <c r="G12" s="25">
        <v>0.74899199999999999</v>
      </c>
      <c r="H12" s="25">
        <v>0.230907</v>
      </c>
      <c r="I12" s="25">
        <v>9.7916000000000003E-2</v>
      </c>
      <c r="J12" s="19">
        <v>7.2998719999999997</v>
      </c>
    </row>
    <row r="13" spans="1:10" ht="15" customHeight="1" x14ac:dyDescent="0.3">
      <c r="A13" s="6">
        <v>9</v>
      </c>
      <c r="B13" s="18">
        <v>0.76113699999999995</v>
      </c>
      <c r="C13" s="18">
        <v>0.85467199999999999</v>
      </c>
      <c r="D13" s="18">
        <v>0.38212400000000002</v>
      </c>
      <c r="E13" s="18">
        <v>0.33735199999999999</v>
      </c>
      <c r="F13" s="18">
        <v>0.68970799999999999</v>
      </c>
      <c r="G13" s="18">
        <v>0.30985299999999999</v>
      </c>
      <c r="H13" s="18">
        <v>0.63138000000000005</v>
      </c>
      <c r="I13" s="18">
        <v>4.1956E-2</v>
      </c>
      <c r="J13" s="24">
        <v>7.9578749999999996</v>
      </c>
    </row>
    <row r="14" spans="1:10" ht="15" customHeight="1" x14ac:dyDescent="0.3">
      <c r="A14" s="2">
        <v>10</v>
      </c>
      <c r="B14" s="25">
        <v>0.98493299999999995</v>
      </c>
      <c r="C14" s="25">
        <v>0.69950599999999996</v>
      </c>
      <c r="D14" s="25">
        <v>0.99888500000000002</v>
      </c>
      <c r="E14" s="25">
        <v>0.180148</v>
      </c>
      <c r="F14" s="25">
        <v>0.58014299999999996</v>
      </c>
      <c r="G14" s="25">
        <v>0.23108699999999999</v>
      </c>
      <c r="H14" s="25">
        <v>0.49082700000000001</v>
      </c>
      <c r="I14" s="25">
        <v>0.31368299999999999</v>
      </c>
      <c r="J14" s="19">
        <v>5.592193</v>
      </c>
    </row>
    <row r="15" spans="1:10" ht="15" customHeight="1" x14ac:dyDescent="0.3">
      <c r="A15" s="6">
        <v>11</v>
      </c>
      <c r="B15" s="18">
        <v>0.112071</v>
      </c>
      <c r="C15" s="18">
        <v>0.43773600000000001</v>
      </c>
      <c r="D15" s="18">
        <v>0.59659899999999999</v>
      </c>
      <c r="E15" s="18">
        <v>0.59277599999999997</v>
      </c>
      <c r="F15" s="18">
        <v>0.22698199999999999</v>
      </c>
      <c r="G15" s="18">
        <v>0.410105</v>
      </c>
      <c r="H15" s="18">
        <v>0.921238</v>
      </c>
      <c r="I15" s="18">
        <v>0.67475300000000005</v>
      </c>
      <c r="J15" s="24">
        <v>7.8545410000000002</v>
      </c>
    </row>
    <row r="16" spans="1:10" ht="15" customHeight="1" x14ac:dyDescent="0.3">
      <c r="A16" s="2">
        <v>12</v>
      </c>
      <c r="B16" s="25">
        <v>0.79188800000000004</v>
      </c>
      <c r="C16" s="25">
        <v>0.57619100000000001</v>
      </c>
      <c r="D16" s="25">
        <v>0.69452800000000003</v>
      </c>
      <c r="E16" s="25">
        <v>0.28342400000000001</v>
      </c>
      <c r="F16" s="25">
        <v>0.13675499999999999</v>
      </c>
      <c r="G16" s="25">
        <v>0.27916200000000002</v>
      </c>
      <c r="H16" s="25">
        <v>0.84276700000000004</v>
      </c>
      <c r="I16" s="25">
        <v>0.62532799999999999</v>
      </c>
      <c r="J16" s="19">
        <v>6.7919859999999996</v>
      </c>
    </row>
    <row r="17" spans="1:10" ht="15" customHeight="1" x14ac:dyDescent="0.3">
      <c r="A17" s="6">
        <v>13</v>
      </c>
      <c r="B17" s="18">
        <v>0.14355000000000001</v>
      </c>
      <c r="C17" s="18">
        <v>0.937415</v>
      </c>
      <c r="D17" s="18">
        <v>0.232325</v>
      </c>
      <c r="E17" s="18">
        <v>9.0430000000000007E-3</v>
      </c>
      <c r="F17" s="18">
        <v>0.41457899999999998</v>
      </c>
      <c r="G17" s="18">
        <v>0.40932499999999999</v>
      </c>
      <c r="H17" s="18">
        <v>0.55377900000000002</v>
      </c>
      <c r="I17" s="18">
        <v>0.205841</v>
      </c>
      <c r="J17" s="24">
        <v>8.9765540000000001</v>
      </c>
    </row>
    <row r="18" spans="1:10" ht="15" customHeight="1" x14ac:dyDescent="0.3">
      <c r="A18" s="2">
        <v>14</v>
      </c>
      <c r="B18" s="25">
        <v>0.76991699999999996</v>
      </c>
      <c r="C18" s="25">
        <v>0.45875899999999997</v>
      </c>
      <c r="D18" s="25">
        <v>0.55900000000000005</v>
      </c>
      <c r="E18" s="25">
        <v>0.694604</v>
      </c>
      <c r="F18" s="25">
        <v>0.50319899999999995</v>
      </c>
      <c r="G18" s="25">
        <v>0.72834600000000005</v>
      </c>
      <c r="H18" s="25">
        <v>0.78425400000000001</v>
      </c>
      <c r="I18" s="25">
        <v>0.66313100000000003</v>
      </c>
      <c r="J18" s="19">
        <v>7.3790829999999996</v>
      </c>
    </row>
    <row r="19" spans="1:10" ht="15" customHeight="1" x14ac:dyDescent="0.3">
      <c r="A19" s="15">
        <v>15</v>
      </c>
      <c r="B19" s="16">
        <v>5.6446999999999997E-2</v>
      </c>
      <c r="C19" s="16">
        <v>6.5956000000000001E-2</v>
      </c>
      <c r="D19" s="16">
        <v>2.2929000000000001E-2</v>
      </c>
      <c r="E19" s="16">
        <v>3.8786000000000001E-2</v>
      </c>
      <c r="F19" s="16">
        <v>0.40393499999999999</v>
      </c>
      <c r="G19" s="16">
        <v>0.80105499999999996</v>
      </c>
      <c r="H19" s="16">
        <v>0.48830699999999999</v>
      </c>
      <c r="I19" s="16">
        <v>0.89308500000000002</v>
      </c>
      <c r="J19" s="17">
        <v>9.5984820000000006</v>
      </c>
    </row>
    <row r="20" spans="1:10" ht="15" customHeight="1" x14ac:dyDescent="0.3">
      <c r="A20" s="2">
        <v>16</v>
      </c>
      <c r="B20" s="25">
        <v>0.86243700000000001</v>
      </c>
      <c r="C20" s="25">
        <v>0.482734</v>
      </c>
      <c r="D20" s="25">
        <v>0.28186899999999998</v>
      </c>
      <c r="E20" s="25">
        <v>0.54410199999999997</v>
      </c>
      <c r="F20" s="25">
        <v>0.88749</v>
      </c>
      <c r="G20" s="25">
        <v>0.38265500000000002</v>
      </c>
      <c r="H20" s="25">
        <v>0.60190200000000005</v>
      </c>
      <c r="I20" s="25">
        <v>0.476462</v>
      </c>
      <c r="J20" s="26">
        <v>8.1599830000000004</v>
      </c>
    </row>
    <row r="21" spans="1:10" ht="15" customHeight="1" x14ac:dyDescent="0.3">
      <c r="A21" s="6">
        <v>17</v>
      </c>
      <c r="B21" s="18">
        <v>0.35151199999999999</v>
      </c>
      <c r="C21" s="18">
        <v>0.59006499999999995</v>
      </c>
      <c r="D21" s="18">
        <v>0.90943600000000002</v>
      </c>
      <c r="E21" s="18">
        <v>0.67840800000000001</v>
      </c>
      <c r="F21" s="18">
        <v>0.21282599999999999</v>
      </c>
      <c r="G21" s="18">
        <v>8.8459999999999997E-2</v>
      </c>
      <c r="H21" s="18">
        <v>0.41015299999999999</v>
      </c>
      <c r="I21" s="18">
        <v>0.19572400000000001</v>
      </c>
      <c r="J21" s="19">
        <v>7.1316240000000004</v>
      </c>
    </row>
    <row r="22" spans="1:10" ht="15" customHeight="1" x14ac:dyDescent="0.3">
      <c r="A22" s="2">
        <v>18</v>
      </c>
      <c r="B22" s="25">
        <v>0.735904</v>
      </c>
      <c r="C22" s="25">
        <v>3.4611999999999997E-2</v>
      </c>
      <c r="D22" s="25">
        <v>0.72802999999999995</v>
      </c>
      <c r="E22" s="25">
        <v>0.147427</v>
      </c>
      <c r="F22" s="25">
        <v>0.29574299999999998</v>
      </c>
      <c r="G22" s="25">
        <v>0.44511699999999998</v>
      </c>
      <c r="H22" s="25">
        <v>0.97518000000000005</v>
      </c>
      <c r="I22" s="25">
        <v>0.37434000000000001</v>
      </c>
      <c r="J22" s="19">
        <v>6.767963</v>
      </c>
    </row>
    <row r="23" spans="1:10" ht="15" customHeight="1" x14ac:dyDescent="0.3">
      <c r="A23" s="6">
        <v>19</v>
      </c>
      <c r="B23" s="18">
        <v>0.68029399999999995</v>
      </c>
      <c r="C23" s="18">
        <v>0.25510500000000003</v>
      </c>
      <c r="D23" s="18">
        <v>0.86218799999999995</v>
      </c>
      <c r="E23" s="18">
        <v>0.13439599999999999</v>
      </c>
      <c r="F23" s="18">
        <v>0.32632899999999998</v>
      </c>
      <c r="G23" s="18">
        <v>0.28790700000000002</v>
      </c>
      <c r="H23" s="18">
        <v>0.43501000000000001</v>
      </c>
      <c r="I23" s="18">
        <v>0.36420000000000002</v>
      </c>
      <c r="J23" s="19">
        <v>7.4337439999999999</v>
      </c>
    </row>
    <row r="24" spans="1:10" ht="15" customHeight="1" x14ac:dyDescent="0.3">
      <c r="A24" s="2">
        <v>20</v>
      </c>
      <c r="B24" s="25">
        <v>4.4329E-2</v>
      </c>
      <c r="C24" s="25">
        <v>1.3580999999999999E-2</v>
      </c>
      <c r="D24" s="25">
        <v>0.25819799999999998</v>
      </c>
      <c r="E24" s="25">
        <v>0.57764400000000005</v>
      </c>
      <c r="F24" s="25">
        <v>5.1279999999999999E-2</v>
      </c>
      <c r="G24" s="25">
        <v>0.15856300000000001</v>
      </c>
      <c r="H24" s="25">
        <v>0.59103000000000006</v>
      </c>
      <c r="I24" s="25">
        <v>7.7952999999999995E-2</v>
      </c>
      <c r="J24" s="26">
        <v>9.0130750000000006</v>
      </c>
    </row>
    <row r="25" spans="1:10" ht="15" customHeight="1" x14ac:dyDescent="0.3">
      <c r="A25" s="6">
        <v>21</v>
      </c>
      <c r="B25" s="18">
        <v>0.77834499999999995</v>
      </c>
      <c r="C25" s="18">
        <v>0.75114599999999998</v>
      </c>
      <c r="D25" s="18">
        <v>0.31414199999999998</v>
      </c>
      <c r="E25" s="18">
        <v>0.90298599999999996</v>
      </c>
      <c r="F25" s="18">
        <v>0.33538200000000001</v>
      </c>
      <c r="G25" s="18">
        <v>0.38632300000000003</v>
      </c>
      <c r="H25" s="18">
        <v>0.74897199999999997</v>
      </c>
      <c r="I25" s="18">
        <v>0.98875500000000005</v>
      </c>
      <c r="J25" s="19">
        <v>7.3108940000000002</v>
      </c>
    </row>
    <row r="26" spans="1:10" ht="15" customHeight="1" x14ac:dyDescent="0.3">
      <c r="A26" s="2">
        <v>22</v>
      </c>
      <c r="B26" s="25">
        <v>0.89888699999999999</v>
      </c>
      <c r="C26" s="25">
        <v>0.52364200000000005</v>
      </c>
      <c r="D26" s="25">
        <v>0.87678299999999998</v>
      </c>
      <c r="E26" s="25">
        <v>0.218696</v>
      </c>
      <c r="F26" s="25">
        <v>0.90026099999999998</v>
      </c>
      <c r="G26" s="25">
        <v>0.28276600000000002</v>
      </c>
      <c r="H26" s="25">
        <v>0.91107800000000005</v>
      </c>
      <c r="I26" s="25">
        <v>0.47239799999999998</v>
      </c>
      <c r="J26" s="19">
        <v>5.8410669999999998</v>
      </c>
    </row>
    <row r="27" spans="1:10" ht="15" customHeight="1" x14ac:dyDescent="0.3">
      <c r="A27" s="6">
        <v>23</v>
      </c>
      <c r="B27" s="18">
        <v>0.14512</v>
      </c>
      <c r="C27" s="18">
        <v>0.119328</v>
      </c>
      <c r="D27" s="18">
        <v>0.42088799999999998</v>
      </c>
      <c r="E27" s="18">
        <v>0.38760899999999998</v>
      </c>
      <c r="F27" s="18">
        <v>0.15542300000000001</v>
      </c>
      <c r="G27" s="18">
        <v>0.87517199999999995</v>
      </c>
      <c r="H27" s="18">
        <v>0.51056000000000001</v>
      </c>
      <c r="I27" s="18">
        <v>0.72861100000000001</v>
      </c>
      <c r="J27" s="24">
        <v>9.1416389999999996</v>
      </c>
    </row>
    <row r="28" spans="1:10" ht="15" customHeight="1" x14ac:dyDescent="0.3">
      <c r="A28" s="2">
        <v>24</v>
      </c>
      <c r="B28" s="25">
        <v>0.33895399999999998</v>
      </c>
      <c r="C28" s="25">
        <v>0.56693199999999999</v>
      </c>
      <c r="D28" s="25">
        <v>0.376751</v>
      </c>
      <c r="E28" s="25">
        <v>9.8916000000000004E-2</v>
      </c>
      <c r="F28" s="25">
        <v>0.65945200000000004</v>
      </c>
      <c r="G28" s="25">
        <v>0.24554799999999999</v>
      </c>
      <c r="H28" s="25">
        <v>0.76248300000000002</v>
      </c>
      <c r="I28" s="25">
        <v>0.73215300000000005</v>
      </c>
      <c r="J28" s="26">
        <v>8.817558</v>
      </c>
    </row>
    <row r="29" spans="1:10" ht="15" customHeight="1" x14ac:dyDescent="0.3">
      <c r="A29" s="6">
        <v>25</v>
      </c>
      <c r="B29" s="18">
        <v>0.17615</v>
      </c>
      <c r="C29" s="18">
        <v>0.29396099999999997</v>
      </c>
      <c r="D29" s="18">
        <v>0.97567999999999999</v>
      </c>
      <c r="E29" s="18">
        <v>0.79393599999999998</v>
      </c>
      <c r="F29" s="18">
        <v>0.92340100000000003</v>
      </c>
      <c r="G29" s="18">
        <v>3.0842000000000001E-2</v>
      </c>
      <c r="H29" s="18">
        <v>0.80325500000000005</v>
      </c>
      <c r="I29" s="18">
        <v>0.59589800000000004</v>
      </c>
      <c r="J29" s="19">
        <v>6.451943</v>
      </c>
    </row>
    <row r="30" spans="1:10" ht="15" customHeight="1" x14ac:dyDescent="0.3">
      <c r="A30" s="2">
        <v>26</v>
      </c>
      <c r="B30" s="25">
        <v>2.8947000000000001E-2</v>
      </c>
      <c r="C30" s="25">
        <v>2.8278999999999999E-2</v>
      </c>
      <c r="D30" s="25">
        <v>0.48137200000000002</v>
      </c>
      <c r="E30" s="25">
        <v>0.61317500000000003</v>
      </c>
      <c r="F30" s="25">
        <v>0.67266000000000004</v>
      </c>
      <c r="G30" s="25">
        <v>2.2113000000000001E-2</v>
      </c>
      <c r="H30" s="25">
        <v>0.60148299999999999</v>
      </c>
      <c r="I30" s="25">
        <v>0.52488500000000005</v>
      </c>
      <c r="J30" s="26">
        <v>8.8307450000000003</v>
      </c>
    </row>
    <row r="31" spans="1:10" ht="15" customHeight="1" x14ac:dyDescent="0.3">
      <c r="A31" s="6">
        <v>27</v>
      </c>
      <c r="B31" s="18">
        <v>0.19264000000000001</v>
      </c>
      <c r="C31" s="18">
        <v>0.63067700000000004</v>
      </c>
      <c r="D31" s="18">
        <v>0.416796</v>
      </c>
      <c r="E31" s="18">
        <v>0.49052899999999999</v>
      </c>
      <c r="F31" s="18">
        <v>0.79608599999999996</v>
      </c>
      <c r="G31" s="18">
        <v>0.65456700000000001</v>
      </c>
      <c r="H31" s="18">
        <v>0.27624100000000001</v>
      </c>
      <c r="I31" s="18">
        <v>0.295518</v>
      </c>
      <c r="J31" s="24">
        <v>9.3442740000000004</v>
      </c>
    </row>
    <row r="32" spans="1:10" ht="15" customHeight="1" x14ac:dyDescent="0.3">
      <c r="A32" s="2">
        <v>28</v>
      </c>
      <c r="B32" s="25">
        <v>0.94318500000000005</v>
      </c>
      <c r="C32" s="25">
        <v>0.21885099999999999</v>
      </c>
      <c r="D32" s="25">
        <v>0.72118400000000005</v>
      </c>
      <c r="E32" s="25">
        <v>0.424597</v>
      </c>
      <c r="F32" s="25">
        <v>0.98690199999999995</v>
      </c>
      <c r="G32" s="25">
        <v>0.53518299999999996</v>
      </c>
      <c r="H32" s="25">
        <v>0.71474300000000002</v>
      </c>
      <c r="I32" s="25">
        <v>0.960094</v>
      </c>
      <c r="J32" s="19">
        <v>6.8878459999999997</v>
      </c>
    </row>
    <row r="33" spans="1:10" ht="15" customHeight="1" x14ac:dyDescent="0.3">
      <c r="A33" s="6">
        <v>29</v>
      </c>
      <c r="B33" s="18">
        <v>0.532721</v>
      </c>
      <c r="C33" s="18">
        <v>0.83369300000000002</v>
      </c>
      <c r="D33" s="18">
        <v>7.1399000000000004E-2</v>
      </c>
      <c r="E33" s="18">
        <v>0.116811</v>
      </c>
      <c r="F33" s="18">
        <v>0.73069300000000004</v>
      </c>
      <c r="G33" s="18">
        <v>0.93737599999999999</v>
      </c>
      <c r="H33" s="18">
        <v>0.86650799999999994</v>
      </c>
      <c r="I33" s="18">
        <v>0.12790199999999999</v>
      </c>
      <c r="J33" s="24">
        <v>8.0422130000000003</v>
      </c>
    </row>
    <row r="34" spans="1:10" ht="15" customHeight="1" x14ac:dyDescent="0.3">
      <c r="A34" s="2">
        <v>30</v>
      </c>
      <c r="B34" s="25">
        <v>0.44709599999999999</v>
      </c>
      <c r="C34" s="25">
        <v>0.84395299999999995</v>
      </c>
      <c r="D34" s="25">
        <v>0.72954600000000003</v>
      </c>
      <c r="E34" s="25">
        <v>0.63915100000000002</v>
      </c>
      <c r="F34" s="25">
        <v>0.40928700000000001</v>
      </c>
      <c r="G34" s="25">
        <v>0.13264599999999999</v>
      </c>
      <c r="H34" s="25">
        <v>3.5909000000000003E-2</v>
      </c>
      <c r="I34" s="25">
        <v>0.44683800000000001</v>
      </c>
      <c r="J34" s="19">
        <v>7.6923680000000001</v>
      </c>
    </row>
    <row r="35" spans="1:10" ht="15" customHeight="1" x14ac:dyDescent="0.3">
      <c r="A35" s="6">
        <v>31</v>
      </c>
      <c r="B35" s="18">
        <v>0.38222499999999998</v>
      </c>
      <c r="C35" s="18">
        <v>0.55713599999999996</v>
      </c>
      <c r="D35" s="18">
        <v>0.85310200000000003</v>
      </c>
      <c r="E35" s="18">
        <v>0.33379599999999998</v>
      </c>
      <c r="F35" s="18">
        <v>0.26572099999999998</v>
      </c>
      <c r="G35" s="18">
        <v>0.48087299999999999</v>
      </c>
      <c r="H35" s="18">
        <v>0.237647</v>
      </c>
      <c r="I35" s="18">
        <v>0.76863199999999998</v>
      </c>
      <c r="J35" s="24">
        <v>7.9237590000000004</v>
      </c>
    </row>
    <row r="36" spans="1:10" ht="15" customHeight="1" x14ac:dyDescent="0.3">
      <c r="A36" s="2">
        <v>32</v>
      </c>
      <c r="B36" s="25">
        <v>0.53281999999999996</v>
      </c>
      <c r="C36" s="25">
        <v>0.86230799999999996</v>
      </c>
      <c r="D36" s="25">
        <v>0.53826700000000005</v>
      </c>
      <c r="E36" s="25">
        <v>4.9443000000000001E-2</v>
      </c>
      <c r="F36" s="25">
        <v>0.71970100000000004</v>
      </c>
      <c r="G36" s="25">
        <v>0.90670600000000001</v>
      </c>
      <c r="H36" s="25">
        <v>0.10823099999999999</v>
      </c>
      <c r="I36" s="25">
        <v>0.52534800000000004</v>
      </c>
      <c r="J36" s="26">
        <v>8.4217589999999998</v>
      </c>
    </row>
    <row r="37" spans="1:10" ht="15" customHeight="1" x14ac:dyDescent="0.3">
      <c r="A37" s="6">
        <v>33</v>
      </c>
      <c r="B37" s="18">
        <v>0.39486500000000002</v>
      </c>
      <c r="C37" s="18">
        <v>0.33180199999999999</v>
      </c>
      <c r="D37" s="18">
        <v>0.74075400000000002</v>
      </c>
      <c r="E37" s="18">
        <v>0.69786199999999998</v>
      </c>
      <c r="F37" s="18">
        <v>0.73740399999999995</v>
      </c>
      <c r="G37" s="18">
        <v>0.78377699999999995</v>
      </c>
      <c r="H37" s="18">
        <v>0.25449500000000003</v>
      </c>
      <c r="I37" s="18">
        <v>0.87114599999999998</v>
      </c>
      <c r="J37" s="24">
        <v>8.2780620000000003</v>
      </c>
    </row>
    <row r="38" spans="1:10" ht="15" customHeight="1" x14ac:dyDescent="0.3">
      <c r="A38" s="2">
        <v>34</v>
      </c>
      <c r="B38" s="25">
        <v>0.98594499999999996</v>
      </c>
      <c r="C38" s="25">
        <v>0.873054</v>
      </c>
      <c r="D38" s="25">
        <v>7.0392999999999997E-2</v>
      </c>
      <c r="E38" s="25">
        <v>5.3587000000000003E-2</v>
      </c>
      <c r="F38" s="25">
        <v>0.73415299999999994</v>
      </c>
      <c r="G38" s="25">
        <v>0.52025900000000003</v>
      </c>
      <c r="H38" s="25">
        <v>0.81103999999999998</v>
      </c>
      <c r="I38" s="25">
        <v>0.10335999999999999</v>
      </c>
      <c r="J38" s="19">
        <v>7.1134570000000004</v>
      </c>
    </row>
    <row r="39" spans="1:10" ht="15" customHeight="1" x14ac:dyDescent="0.3">
      <c r="A39" s="6">
        <v>35</v>
      </c>
      <c r="B39" s="18">
        <v>0.96457300000000001</v>
      </c>
      <c r="C39" s="18">
        <v>0.97397999999999996</v>
      </c>
      <c r="D39" s="18">
        <v>0.66375300000000004</v>
      </c>
      <c r="E39" s="18">
        <v>0.66221600000000003</v>
      </c>
      <c r="F39" s="18">
        <v>0.673122</v>
      </c>
      <c r="G39" s="18">
        <v>0.90523799999999999</v>
      </c>
      <c r="H39" s="18">
        <v>0.45887499999999998</v>
      </c>
      <c r="I39" s="18">
        <v>0.56091800000000003</v>
      </c>
      <c r="J39" s="19">
        <v>6.4025879999999997</v>
      </c>
    </row>
    <row r="40" spans="1:10" ht="15" customHeight="1" x14ac:dyDescent="0.3">
      <c r="A40" s="2">
        <v>36</v>
      </c>
      <c r="B40" s="25">
        <v>0.47207100000000002</v>
      </c>
      <c r="C40" s="25">
        <v>0.16820299999999999</v>
      </c>
      <c r="D40" s="25">
        <v>8.6428000000000005E-2</v>
      </c>
      <c r="E40" s="25">
        <v>0.452656</v>
      </c>
      <c r="F40" s="25">
        <v>0.48061900000000002</v>
      </c>
      <c r="G40" s="25">
        <v>0.62243899999999996</v>
      </c>
      <c r="H40" s="25">
        <v>0.92897399999999997</v>
      </c>
      <c r="I40" s="25">
        <v>0.112536</v>
      </c>
      <c r="J40" s="26">
        <v>8.4729360000000007</v>
      </c>
    </row>
    <row r="41" spans="1:10" ht="15" customHeight="1" x14ac:dyDescent="0.3">
      <c r="A41" s="6">
        <v>37</v>
      </c>
      <c r="B41" s="18">
        <v>0.85600699999999996</v>
      </c>
      <c r="C41" s="18">
        <v>0.63889399999999996</v>
      </c>
      <c r="D41" s="18">
        <v>0.32619199999999998</v>
      </c>
      <c r="E41" s="18">
        <v>0.66850299999999996</v>
      </c>
      <c r="F41" s="18">
        <v>0.24029800000000001</v>
      </c>
      <c r="G41" s="18">
        <v>0.21029900000000001</v>
      </c>
      <c r="H41" s="18">
        <v>0.167546</v>
      </c>
      <c r="I41" s="18">
        <v>0.96358999999999995</v>
      </c>
      <c r="J41" s="24">
        <v>7.9776850000000001</v>
      </c>
    </row>
    <row r="42" spans="1:10" ht="15" customHeight="1" x14ac:dyDescent="0.3">
      <c r="A42" s="2">
        <v>38</v>
      </c>
      <c r="B42" s="25">
        <v>0.81003199999999997</v>
      </c>
      <c r="C42" s="25">
        <v>0.635046</v>
      </c>
      <c r="D42" s="25">
        <v>0.26954800000000001</v>
      </c>
      <c r="E42" s="25">
        <v>0.86960499999999996</v>
      </c>
      <c r="F42" s="25">
        <v>0.66192200000000001</v>
      </c>
      <c r="G42" s="25">
        <v>0.25225900000000001</v>
      </c>
      <c r="H42" s="25">
        <v>0.76566999999999996</v>
      </c>
      <c r="I42" s="25">
        <v>0.89054900000000004</v>
      </c>
      <c r="J42" s="19">
        <v>7.4608720000000002</v>
      </c>
    </row>
    <row r="43" spans="1:10" ht="15" customHeight="1" x14ac:dyDescent="0.3">
      <c r="A43" s="6">
        <v>39</v>
      </c>
      <c r="B43" s="18">
        <v>0.79625299999999999</v>
      </c>
      <c r="C43" s="18">
        <v>7.0369999999999999E-3</v>
      </c>
      <c r="D43" s="18">
        <v>0.35569699999999999</v>
      </c>
      <c r="E43" s="18">
        <v>0.487566</v>
      </c>
      <c r="F43" s="18">
        <v>0.74051999999999996</v>
      </c>
      <c r="G43" s="18">
        <v>0.70665</v>
      </c>
      <c r="H43" s="18">
        <v>0.99291399999999996</v>
      </c>
      <c r="I43" s="18">
        <v>0.38173400000000002</v>
      </c>
      <c r="J43" s="19">
        <v>7.4365940000000004</v>
      </c>
    </row>
    <row r="44" spans="1:10" ht="15" customHeight="1" x14ac:dyDescent="0.3">
      <c r="A44" s="2">
        <v>40</v>
      </c>
      <c r="B44" s="25">
        <v>0.48124499999999998</v>
      </c>
      <c r="C44" s="25">
        <v>0.102461</v>
      </c>
      <c r="D44" s="25">
        <v>0.21948599999999999</v>
      </c>
      <c r="E44" s="25">
        <v>0.67732199999999998</v>
      </c>
      <c r="F44" s="25">
        <v>0.24750900000000001</v>
      </c>
      <c r="G44" s="25">
        <v>0.244341</v>
      </c>
      <c r="H44" s="25">
        <v>0.163825</v>
      </c>
      <c r="I44" s="25">
        <v>0.71596199999999999</v>
      </c>
      <c r="J44" s="26">
        <v>9.1830049999999996</v>
      </c>
    </row>
    <row r="47" spans="1:10" ht="18" customHeight="1" x14ac:dyDescent="0.3">
      <c r="A47" s="33" t="s">
        <v>77</v>
      </c>
      <c r="B47" s="29"/>
      <c r="C47" s="29"/>
      <c r="D47" s="29"/>
      <c r="E47" s="29"/>
      <c r="F47" s="29"/>
      <c r="G47" s="29"/>
      <c r="H47" s="29"/>
      <c r="I47" s="29"/>
      <c r="J47" s="29"/>
    </row>
    <row r="48" spans="1:10" ht="18" customHeight="1" x14ac:dyDescent="0.3">
      <c r="A48" s="20" t="s">
        <v>53</v>
      </c>
      <c r="B48" s="20" t="s">
        <v>54</v>
      </c>
      <c r="C48" s="20" t="s">
        <v>55</v>
      </c>
      <c r="D48" s="20" t="s">
        <v>56</v>
      </c>
      <c r="E48" s="20" t="s">
        <v>57</v>
      </c>
      <c r="F48" s="20" t="s">
        <v>58</v>
      </c>
      <c r="G48" s="20" t="s">
        <v>59</v>
      </c>
      <c r="H48" s="20" t="s">
        <v>60</v>
      </c>
      <c r="I48" s="20" t="s">
        <v>7</v>
      </c>
    </row>
    <row r="49" spans="1:10" ht="18" customHeight="1" x14ac:dyDescent="0.3">
      <c r="A49" s="10">
        <v>-0.49084499999999998</v>
      </c>
      <c r="B49" s="10">
        <v>-0.17438699999999999</v>
      </c>
      <c r="C49" s="10">
        <v>-0.63185100000000005</v>
      </c>
      <c r="D49" s="10">
        <v>-0.10033300000000001</v>
      </c>
      <c r="E49" s="7">
        <v>3.5526000000000002E-2</v>
      </c>
      <c r="F49" s="10">
        <v>-1.3965E-2</v>
      </c>
      <c r="G49" s="10">
        <v>-0.36701899999999998</v>
      </c>
      <c r="H49" s="7">
        <v>5.6082E-2</v>
      </c>
      <c r="I49" s="7">
        <v>0.89900000000000002</v>
      </c>
    </row>
    <row r="50" spans="1:10" ht="18" customHeight="1" x14ac:dyDescent="0.3">
      <c r="A50" s="21" t="s">
        <v>78</v>
      </c>
      <c r="B50" s="21" t="s">
        <v>78</v>
      </c>
      <c r="C50" s="21" t="s">
        <v>78</v>
      </c>
      <c r="D50" s="21" t="s">
        <v>78</v>
      </c>
      <c r="E50" s="27" t="s">
        <v>89</v>
      </c>
      <c r="F50" s="21" t="s">
        <v>78</v>
      </c>
      <c r="G50" s="21" t="s">
        <v>78</v>
      </c>
      <c r="H50" s="27" t="s">
        <v>89</v>
      </c>
      <c r="I50" s="27" t="s">
        <v>90</v>
      </c>
    </row>
    <row r="52" spans="1:10" ht="18" customHeight="1" x14ac:dyDescent="0.3">
      <c r="A52" s="31" t="s">
        <v>80</v>
      </c>
      <c r="B52" s="29"/>
      <c r="C52" s="29"/>
      <c r="D52" s="29"/>
      <c r="E52" s="29"/>
      <c r="F52" s="29"/>
      <c r="G52" s="29"/>
      <c r="H52" s="29"/>
      <c r="I52" s="29"/>
      <c r="J52" s="29"/>
    </row>
    <row r="53" spans="1:10" ht="18" customHeight="1" x14ac:dyDescent="0.3">
      <c r="A53" s="20" t="s">
        <v>12</v>
      </c>
      <c r="B53" s="20" t="s">
        <v>81</v>
      </c>
      <c r="C53" s="20" t="s">
        <v>82</v>
      </c>
      <c r="D53" s="20" t="s">
        <v>83</v>
      </c>
      <c r="E53" s="20" t="s">
        <v>84</v>
      </c>
    </row>
    <row r="54" spans="1:10" ht="18" customHeight="1" x14ac:dyDescent="0.3">
      <c r="A54" s="7" t="s">
        <v>29</v>
      </c>
      <c r="B54" s="7" t="s">
        <v>48</v>
      </c>
      <c r="C54" s="7">
        <v>10.969517</v>
      </c>
      <c r="D54" s="7" t="s">
        <v>109</v>
      </c>
      <c r="E54" s="7" t="s">
        <v>87</v>
      </c>
    </row>
    <row r="55" spans="1:10" ht="18" customHeight="1" x14ac:dyDescent="0.3">
      <c r="A55" s="2" t="s">
        <v>19</v>
      </c>
      <c r="B55" s="2" t="s">
        <v>49</v>
      </c>
      <c r="C55" s="2" t="s">
        <v>86</v>
      </c>
      <c r="D55" s="2" t="s">
        <v>86</v>
      </c>
      <c r="E55" s="23"/>
    </row>
  </sheetData>
  <mergeCells count="4">
    <mergeCell ref="A52:J52"/>
    <mergeCell ref="A47:J47"/>
    <mergeCell ref="A1:J1"/>
    <mergeCell ref="A3:J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Beta Coefficients</vt:lpstr>
      <vt:lpstr>F1 Detail</vt:lpstr>
      <vt:lpstr>F2 Detail</vt:lpstr>
      <vt:lpstr>F3 Detail</vt:lpstr>
      <vt:lpstr>F4 Detail</vt:lpstr>
      <vt:lpstr>F5 Detail</vt:lpstr>
      <vt:lpstr>F6 Detail</vt:lpstr>
      <vt:lpstr>F7 Detail</vt:lpstr>
      <vt:lpstr>F8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 Rajasekaran</cp:lastModifiedBy>
  <dcterms:created xsi:type="dcterms:W3CDTF">2026-06-13T01:30:32Z</dcterms:created>
  <dcterms:modified xsi:type="dcterms:W3CDTF">2026-06-14T09:30:50Z</dcterms:modified>
</cp:coreProperties>
</file>