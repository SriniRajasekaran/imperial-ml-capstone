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ecutive Summary" sheetId="1" state="visible" r:id="rId3"/>
    <sheet name="Head-to-Head Results" sheetId="2" state="visible" r:id="rId4"/>
    <sheet name="SHAP-LR Agreement" sheetId="3" state="visible" r:id="rId5"/>
    <sheet name="Asymmetric Loss Analysis" sheetId="4" state="visible" r:id="rId6"/>
    <sheet name="7-Feature Scorecard" sheetId="5" state="visible" r:id="rId7"/>
    <sheet name="Audit RAG Scorecard"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<sst xmlns="http://schemas.openxmlformats.org/spreadsheetml/2006/main" count="311" uniqueCount="230">
  <si>
    <t xml:space="preserve">AUTOMATED CREDIT RISK AUDIT TOOLKIT — Consolidated Test Results</t>
  </si>
  <si>
    <t xml:space="preserve">Polish Companies Bankruptcy Dataset (UCI ID 365, Year 3 Cohort, 10,503 firms) | August 2026 | Srini Rajasekaran</t>
  </si>
  <si>
    <t xml:space="preserve">FRAMING NOTE: WHY "CREDIT DISTRESS CLASSIFIER" NOT "EARLY WARNING SYSTEM"</t>
  </si>
  <si>
    <t xml:space="preserve">An Early Warning System implies forward-looking temporal prediction — warning that a firm WILL default in future. This model scores point-in-time financial statements with no temporal trajectory. The Polish dataset is a cross-section: no multi-year trend, no survival time, no prediction horizon. The correct term is Credit Distress Classifier — it classifies current financial health, not future default timing. The broader framework is correctly named: Automated Credit Risk Audit Toolkit with Quantitative Explainability Diagnostics.</t>
  </si>
  <si>
    <t xml:space="preserve">KEY FINDINGS — Model Selection and Explainability</t>
  </si>
  <si>
    <t xml:space="preserve">F1: LR is selected as primary model — evidence-based</t>
  </si>
  <si>
    <t xml:space="preserve">LR wins on the primary criterion (asymmetric credit loss) at all cost ratios 2:1 to 10:1 relevant to wholesale credit. LR FN=4 vs XGBoost FN=30 at CR=2:1. LR also wins OOT AUC (0.9989 vs 0.9978), OOT AUC-PR (0.9956 vs 0.9914), Brier Score (0.0121 vs 0.0148), and Log-Loss (0.044 vs 0.053). Selection is driven by data, not convention.</t>
  </si>
  <si>
    <t xml:space="preserve">F2: XGBoost SHAP agrees with LR coefficients — rho=0.93, p&lt;0.0001</t>
  </si>
  <si>
    <t xml:space="preserve">Spearman rank correlation between LR coefficients (scaled) and XGBoost mean |SHAP| across core features: 0.93. Both methods independently rank the same five features first in the same order. This confirms the credit relationships in this dataset are near-linear. XGBoost approximates a linear function using 400 trees. LR expresses the same function directly.</t>
  </si>
  <si>
    <t xml:space="preserve">F3: If XGBoost is deployed, SHAP controls are a necessary condition — not optional</t>
  </si>
  <si>
    <t xml:space="preserve">SHAP serves three non-substitutable governance functions: (1) Independent challenge per SR 11-7 — the only tractable mechanism for auditing a tree ensemble. (2) Individual-level transparency per EU AI Act Art. 13 — local SHAP is the only firm-level explanation artefact. (3) Behavioural monitoring per PRA SS1/23 — explanation drift (Diagnostic B RED) detected regime shift before performance degraded. Without SHAP, none of these three regulatory obligations can be discharged.</t>
  </si>
  <si>
    <t xml:space="preserve">F4: The 7-feature parsimonious specification is the evidence-based production optimum</t>
  </si>
  <si>
    <t xml:space="preserve">X3 (WC/Assets), X8 (Equity/Liabilities), X4 (Current ratio), X5 (Cash/Assets), X7 (EBIT/Assets), X2 (Total leverage), X6 (Retained earnings/Assets). Achieves LR AUC=0.9980 (99.9% of full 14-feature), FN=5 vs 4 full. Derived from convergent evidence: LR weights, XGBoost SHAP, and ablation backtest all agree. The remaining 7 features add &lt;0.001 AUC and no reduction in missed defaults.</t>
  </si>
  <si>
    <t xml:space="preserve">F5: Explanation drift (Diagnostic B) is the most governance-relevant audit finding</t>
  </si>
  <si>
    <t xml:space="preserve">Wasserstein distance on SHAP distributions between training and OOT: RED (threshold breached). This was detected while performance metrics remained strong (OOT AUC 0.9978). Explanation drift without performance degradation means the model is using different features to reach the same conclusion — a structural model change that AUC alone would never surface. This is precisely the independent challenge finding SR 11-7 requires.</t>
  </si>
  <si>
    <t xml:space="preserve">HEAD-TO-HEAD COMPARISON — LR (Primary) vs XGBoost (Challenger) | OOT Holdout</t>
  </si>
  <si>
    <t xml:space="preserve">Both models evaluated identically: same features, same OOT holdout, same cost-ratio thresholds. Neither model is disparaged — both are evaluated on equal terms. LR wins on the credit-relevant metrics.</t>
  </si>
  <si>
    <t xml:space="preserve">Test Dimension</t>
  </si>
  <si>
    <t xml:space="preserve">Metric</t>
  </si>
  <si>
    <t xml:space="preserve">LR Result</t>
  </si>
  <si>
    <t xml:space="preserve">XGBoost Result</t>
  </si>
  <si>
    <t xml:space="preserve">Delta</t>
  </si>
  <si>
    <t xml:space="preserve">Winner</t>
  </si>
  <si>
    <t xml:space="preserve">Significance</t>
  </si>
  <si>
    <t xml:space="preserve">Governance Implication</t>
  </si>
  <si>
    <t xml:space="preserve">Asymmetric Loss
(Primary Criterion)</t>
  </si>
  <si>
    <t xml:space="preserve">FN at CR=2:1 (33.3% thresh)</t>
  </si>
  <si>
    <t xml:space="preserve">4</t>
  </si>
  <si>
    <t xml:space="preserve">30</t>
  </si>
  <si>
    <t xml:space="preserve">-26</t>
  </si>
  <si>
    <t xml:space="preserve">LR</t>
  </si>
  <si>
    <t xml:space="preserve">Primary</t>
  </si>
  <si>
    <t xml:space="preserve">LR misses 26 fewer defaults. Each miss is a credit loss event.</t>
  </si>
  <si>
    <t xml:space="preserve">FN at CR=5:1 (16.7% thresh)</t>
  </si>
  <si>
    <t xml:space="preserve">2</t>
  </si>
  <si>
    <t xml:space="preserve">22</t>
  </si>
  <si>
    <t xml:space="preserve">-20</t>
  </si>
  <si>
    <t xml:space="preserve">At regulatory standard cost ratio, LR advantage is definitive.</t>
  </si>
  <si>
    <t xml:space="preserve">FN at CR=10:1 (9.1% thresh)</t>
  </si>
  <si>
    <t xml:space="preserve">1</t>
  </si>
  <si>
    <t xml:space="preserve">17</t>
  </si>
  <si>
    <t xml:space="preserve">-16</t>
  </si>
  <si>
    <t xml:space="preserve">Across all industry-standard cost ratios, LR wins.</t>
  </si>
  <si>
    <t xml:space="preserve">Discrimination</t>
  </si>
  <si>
    <t xml:space="preserve">OOT AUC-ROC</t>
  </si>
  <si>
    <t xml:space="preserve">0.9989</t>
  </si>
  <si>
    <t xml:space="preserve">0.9978</t>
  </si>
  <si>
    <t xml:space="preserve">+0.0011</t>
  </si>
  <si>
    <t xml:space="preserve">CV p=0.25 ns</t>
  </si>
  <si>
    <t xml:space="preserve">LR marginally superior; difference not statistically significant.</t>
  </si>
  <si>
    <t xml:space="preserve">OOT AUC-PR</t>
  </si>
  <si>
    <t xml:space="preserve">0.9956</t>
  </si>
  <si>
    <t xml:space="preserve">0.9914</t>
  </si>
  <si>
    <t xml:space="preserve">+0.0042</t>
  </si>
  <si>
    <t xml:space="preserve">CV p=0.30 ns</t>
  </si>
  <si>
    <t xml:space="preserve">LR leads on precision-recall — the metric for imbalanced credit data.</t>
  </si>
  <si>
    <t xml:space="preserve">Proper Scoring
(OOT Holdout)</t>
  </si>
  <si>
    <t xml:space="preserve">Brier Score (lower better)</t>
  </si>
  <si>
    <t xml:space="preserve">0.0121</t>
  </si>
  <si>
    <t xml:space="preserve">0.0148</t>
  </si>
  <si>
    <t xml:space="preserve">-0.0027</t>
  </si>
  <si>
    <t xml:space="preserve">OOT basis</t>
  </si>
  <si>
    <t xml:space="preserve">LR probability estimates are more accurate (lower MSE).</t>
  </si>
  <si>
    <t xml:space="preserve">Log-Loss (lower better)</t>
  </si>
  <si>
    <t xml:space="preserve">0.044</t>
  </si>
  <si>
    <t xml:space="preserve">0.053</t>
  </si>
  <si>
    <t xml:space="preserve">-0.009</t>
  </si>
  <si>
    <t xml:space="preserve">LR cross-entropy lower — better calibrated probabilities.</t>
  </si>
  <si>
    <t xml:space="preserve">Calibration</t>
  </si>
  <si>
    <t xml:space="preserve">Borderline zone (30-70%)</t>
  </si>
  <si>
    <t xml:space="preserve">Over-predicts
(flags for review)</t>
  </si>
  <si>
    <t xml:space="preserve">Under-predicts
(silent pass)</t>
  </si>
  <si>
    <t xml:space="preserve">—</t>
  </si>
  <si>
    <t xml:space="preserve">Governance criterion</t>
  </si>
  <si>
    <t xml:space="preserve">LR's over-prediction triggers review. XGBoost's under-prediction is silent risk.</t>
  </si>
  <si>
    <t xml:space="preserve">CV Scoring
(Training distribution)</t>
  </si>
  <si>
    <t xml:space="preserve">CV Brier Score</t>
  </si>
  <si>
    <t xml:space="preserve">0.0042</t>
  </si>
  <si>
    <t xml:space="preserve">0.0024</t>
  </si>
  <si>
    <t xml:space="preserve">+0.0018</t>
  </si>
  <si>
    <t xml:space="preserve">XGBoost</t>
  </si>
  <si>
    <t xml:space="preserve">p=0.014 *</t>
  </si>
  <si>
    <t xml:space="preserve">XGBoost wins within training folds (0.5% bankrupt). Reflects imbalance optimisation, not OOT superiority.</t>
  </si>
  <si>
    <t xml:space="preserve">CV Log-Loss</t>
  </si>
  <si>
    <t xml:space="preserve">0.0177</t>
  </si>
  <si>
    <t xml:space="preserve">0.0083</t>
  </si>
  <si>
    <t xml:space="preserve">+0.0094</t>
  </si>
  <si>
    <t xml:space="preserve">p=0.002 **</t>
  </si>
  <si>
    <t xml:space="preserve">Same explanation: scale_pos_weight optimises XGBoost for training imbalance. OOT is the valid test.</t>
  </si>
  <si>
    <t xml:space="preserve">SHAP Agreement</t>
  </si>
  <si>
    <t xml:space="preserve">LR coef vs XGB SHAP rho</t>
  </si>
  <si>
    <t xml:space="preserve">rho=0.93</t>
  </si>
  <si>
    <t xml:space="preserve">p&lt;0.0001 ***</t>
  </si>
  <si>
    <t xml:space="preserve">SHAP and LR weights are nearly identical. Data is near-linearly separable. XGBoost is unnecessary complexity.</t>
  </si>
  <si>
    <t xml:space="preserve">SHAP-LR AGREEMENT — The Governance Implication of Near-Linear Separability</t>
  </si>
  <si>
    <t xml:space="preserve">Spearman rank correlation: LR coefficients vs XGBoost SHAP importances = 0.93 (p&lt;0.0001). Both independent methods produce the same feature ranking. This is not a coincidence — it is evidence that the credit relationships in this dataset are near-linear. XGBoost is using 400 trees to approximate what logistic regression expresses in a single linear equation.</t>
  </si>
  <si>
    <t xml:space="preserve">Feature (Core Ratios Only)</t>
  </si>
  <si>
    <t xml:space="preserve">Code</t>
  </si>
  <si>
    <t xml:space="preserve">Category</t>
  </si>
  <si>
    <t xml:space="preserve">LR Coefficient
(Scaled, |abs|)</t>
  </si>
  <si>
    <t xml:space="preserve">LR Rank</t>
  </si>
  <si>
    <t xml:space="preserve">XGBoost SHAP
(Mean |SHAP|, OOT)</t>
  </si>
  <si>
    <t xml:space="preserve">SHAP Rank</t>
  </si>
  <si>
    <t xml:space="preserve">Rank Delta</t>
  </si>
  <si>
    <t xml:space="preserve">Agreement</t>
  </si>
  <si>
    <t xml:space="preserve">Working capital / Total assets</t>
  </si>
  <si>
    <t xml:space="preserve">X3</t>
  </si>
  <si>
    <t xml:space="preserve">Activity</t>
  </si>
  <si>
    <t xml:space="preserve">AGREE</t>
  </si>
  <si>
    <t xml:space="preserve">Current assets / ST liabilities</t>
  </si>
  <si>
    <t xml:space="preserve">X4</t>
  </si>
  <si>
    <t xml:space="preserve">Liquidity</t>
  </si>
  <si>
    <t xml:space="preserve">Equity / Total liabilities</t>
  </si>
  <si>
    <t xml:space="preserve">X8</t>
  </si>
  <si>
    <t xml:space="preserve">Leverage</t>
  </si>
  <si>
    <t xml:space="preserve">EBIT / Total assets</t>
  </si>
  <si>
    <t xml:space="preserve">X7</t>
  </si>
  <si>
    <t xml:space="preserve">Profitability</t>
  </si>
  <si>
    <t xml:space="preserve">Cash / Total assets</t>
  </si>
  <si>
    <t xml:space="preserve">X5</t>
  </si>
  <si>
    <t xml:space="preserve">Retained earnings / Total assets</t>
  </si>
  <si>
    <t xml:space="preserve">X6</t>
  </si>
  <si>
    <t xml:space="preserve">Ret.Earnings</t>
  </si>
  <si>
    <t xml:space="preserve">Total liabilities / Total assets</t>
  </si>
  <si>
    <t xml:space="preserve">X2</t>
  </si>
  <si>
    <t xml:space="preserve">CLOSE</t>
  </si>
  <si>
    <t xml:space="preserve">Sales / Total assets</t>
  </si>
  <si>
    <t xml:space="preserve">X9</t>
  </si>
  <si>
    <t xml:space="preserve">Interest coverage ratio</t>
  </si>
  <si>
    <t xml:space="preserve">X18</t>
  </si>
  <si>
    <t xml:space="preserve">Coverage</t>
  </si>
  <si>
    <t xml:space="preserve">DIFFER</t>
  </si>
  <si>
    <t xml:space="preserve">Net profit+Depr / Total liabilit</t>
  </si>
  <si>
    <t xml:space="preserve">X48</t>
  </si>
  <si>
    <t xml:space="preserve">Log(Sales)</t>
  </si>
  <si>
    <t xml:space="preserve">X29</t>
  </si>
  <si>
    <t xml:space="preserve">Size</t>
  </si>
  <si>
    <t xml:space="preserve">Net profit / Total assets</t>
  </si>
  <si>
    <t xml:space="preserve">X1</t>
  </si>
  <si>
    <t xml:space="preserve">Working capital / Total liabilit</t>
  </si>
  <si>
    <t xml:space="preserve">X28</t>
  </si>
  <si>
    <t xml:space="preserve">Net profit / Equity</t>
  </si>
  <si>
    <t xml:space="preserve">X44</t>
  </si>
  <si>
    <t xml:space="preserve">GOVERNANCE CONCLUSION: If XGBoost is deployed, SHAP controls are a necessary condition</t>
  </si>
  <si>
    <t xml:space="preserve">The rho=0.93 agreement between SHAP and LR means: (1) The model is doing what LR would do — but in a black box. Without SHAP, this is unauditable. (2) If the SHAP-LR agreement were to break down in a future cohort, that is the first signal that XGBoost has begun capturing non-linear dynamics that LR cannot see — and the signal to investigate why. (3) The agreement is also validation of the SHAP diagnostics themselves: if SHAP agreed with nothing, the explanations would be artefacts. Agreement with a calibration anchor confirms the explanations are real. SR 11-7 independent challenge | EU AI Act Art.13 transparency | PRA SS1/23 behavioural monitoring — all three require SHAP or an equivalent mechanism. There is no substitute.</t>
  </si>
  <si>
    <t xml:space="preserve">ASYMMETRIC LOSS FUNCTION — Primary Model Selection Criterion</t>
  </si>
  <si>
    <t xml:space="preserve">Total Loss = C_FN × FN + C_FP × FP. Both models evaluated at their own optimal threshold for each cost ratio. FN = missed bankrupt firms (credit loss event). FP = unnecessary watchlist referral (analyst review cost).</t>
  </si>
  <si>
    <t xml:space="preserve">Cost Ratio
(FN:FP)</t>
  </si>
  <si>
    <t xml:space="preserve">Optimal
Threshold</t>
  </si>
  <si>
    <t xml:space="preserve">LR FN</t>
  </si>
  <si>
    <t xml:space="preserve">LR FP</t>
  </si>
  <si>
    <t xml:space="preserve">LR Total
Loss</t>
  </si>
  <si>
    <t xml:space="preserve">XGB FN</t>
  </si>
  <si>
    <t xml:space="preserve">XGB FP</t>
  </si>
  <si>
    <t xml:space="preserve">XGB Total
Loss</t>
  </si>
  <si>
    <t xml:space="preserve">LR-7feat FN</t>
  </si>
  <si>
    <t xml:space="preserve">LR-7feat Loss</t>
  </si>
  <si>
    <t xml:space="preserve">2:1</t>
  </si>
  <si>
    <t xml:space="preserve">33.3%</t>
  </si>
  <si>
    <t xml:space="preserve">5:1</t>
  </si>
  <si>
    <t xml:space="preserve">16.7%</t>
  </si>
  <si>
    <t xml:space="preserve">10:1</t>
  </si>
  <si>
    <t xml:space="preserve">9.1%</t>
  </si>
  <si>
    <t xml:space="preserve">20:1</t>
  </si>
  <si>
    <t xml:space="preserve">4.8%</t>
  </si>
  <si>
    <t xml:space="preserve">50:1</t>
  </si>
  <si>
    <t xml:space="preserve">2.0%</t>
  </si>
  <si>
    <t xml:space="preserve">LR wins at cost ratios 2:1 through 10:1 — the industry range for wholesale credit early warning. XGBoost wins only at extreme ratios (20:1+). The 7-feature LR is within 1-3 FN of full LR at all cost ratios, confirming it as the parsimonious production specification.</t>
  </si>
  <si>
    <t xml:space="preserve">Cost Ratio</t>
  </si>
  <si>
    <t xml:space="preserve">XGBoost FN</t>
  </si>
  <si>
    <t xml:space="preserve">PARSIMONIOUS CREDIT DISTRESS CLASSIFIER — 7-Feature Evidence-Based Specification</t>
  </si>
  <si>
    <t xml:space="preserve">Derived from: LR coefficient ranking + XGBoost SHAP ranking + ablation backtest. All three methods converge. LR AUC=0.9980 | FN=5 (vs 4 full 14-feat) | 99.9% of full model performance with 50% fewer inputs. XGBoost 14-feature retained as independent challenger.</t>
  </si>
  <si>
    <t xml:space="preserve">Rank</t>
  </si>
  <si>
    <t xml:space="preserve">Credit Analyst Label</t>
  </si>
  <si>
    <t xml:space="preserve">LR Weight
(Scaled)</t>
  </si>
  <si>
    <t xml:space="preserve">Direction (Higher value)</t>
  </si>
  <si>
    <t xml:space="preserve">Credit Interpretation</t>
  </si>
  <si>
    <t xml:space="preserve">-2.11</t>
  </si>
  <si>
    <t xml:space="preserve">Lower risk</t>
  </si>
  <si>
    <t xml:space="preserve">Core solvency. WC = Current Assets minus Current Liabilities. Negative WC = firm cannot meet obligations from liquid assets. Strongest single discriminator.</t>
  </si>
  <si>
    <t xml:space="preserve">-1.80</t>
  </si>
  <si>
    <t xml:space="preserve">Current ratio. Below 1.0 = current liabilities exceed current assets. Classic short-term solvency test.</t>
  </si>
  <si>
    <t xml:space="preserve">-1.50</t>
  </si>
  <si>
    <t xml:space="preserve">Capital buffer. Equity as multiple of debt. Near-zero or negative = technically insolvent. Primary capital structure signal.</t>
  </si>
  <si>
    <t xml:space="preserve">-1.21</t>
  </si>
  <si>
    <t xml:space="preserve">Operating earnings efficiency. Negative = loss-making operations. Erodes all other buffers over time.</t>
  </si>
  <si>
    <t xml:space="preserve">Immediate liquidity. Near-zero cash = payment risk within operating cycle. Complements current ratio.</t>
  </si>
  <si>
    <t xml:space="preserve">+0.82</t>
  </si>
  <si>
    <t xml:space="preserve">HIGHER risk</t>
  </si>
  <si>
    <t xml:space="preserve">Total leverage ratio. The primary long-run default predictor in academic and practitioner credit models globally. Higher is adverse.</t>
  </si>
  <si>
    <t xml:space="preserve">-0.95</t>
  </si>
  <si>
    <t xml:space="preserve">Structural resilience. Accumulated earnings buffer. Negative retained earnings = firm has absorbed losses into equity. Structurally fragile.</t>
  </si>
  <si>
    <t xml:space="preserve">MNAR INDICATORS: Also include MNAR_X2 and MNAR_X6 in the production specification</t>
  </si>
  <si>
    <t xml:space="preserve">Firms that suppress reporting of leverage (X2) or retained earnings (X6) are disproportionately distressed. The MNAR binary indicator (1=missing) for these two ratios carries independent adverse signal. Add MNAR_X2 and MNAR_X6 as features 8 and 9 in the production spec.</t>
  </si>
  <si>
    <t xml:space="preserve">EXPLAINABILITY AUDIT DIAGNOSTICS — RAG Scorecard (XGBoost Primary under Audit)</t>
  </si>
  <si>
    <t xml:space="preserve">Diagnostics applied to XGBoost (the model that would be deployed in an ML-first institution). Each diagnostic tests a distinct governance property. Thresholds are calibrated, not subjective.</t>
  </si>
  <si>
    <t xml:space="preserve">Diagnostic</t>
  </si>
  <si>
    <t xml:space="preserve">Result</t>
  </si>
  <si>
    <t xml:space="preserve">Amber Threshold</t>
  </si>
  <si>
    <t xml:space="preserve">Red Threshold</t>
  </si>
  <si>
    <t xml:space="preserve">RAG</t>
  </si>
  <si>
    <t xml:space="preserve">Regulatory Basis</t>
  </si>
  <si>
    <t xml:space="preserve">Finding</t>
  </si>
  <si>
    <t xml:space="preserve">A: Explanation Stability
(Bootstrap Variance)</t>
  </si>
  <si>
    <t xml:space="preserve">Normalised bootstrap
variance of SHAP values</t>
  </si>
  <si>
    <t xml:space="preserve">AMBER</t>
  </si>
  <si>
    <t xml:space="preserve">&gt; 0.15</t>
  </si>
  <si>
    <t xml:space="preserve">&gt; 0.30</t>
  </si>
  <si>
    <t xml:space="preserve">SR 11-7 §IV
NIST GOVERN 1.2</t>
  </si>
  <si>
    <t xml:space="preserve">SHAP values show moderate variance across bootstrap resamples. Acceptable for an ensemble model. Monitor at each re-validation.</t>
  </si>
  <si>
    <t xml:space="preserve">B: Explanation Drift
(Wasserstein Distance)</t>
  </si>
  <si>
    <t xml:space="preserve">SHAP distribution shift:
training vs OOT</t>
  </si>
  <si>
    <t xml:space="preserve">RED</t>
  </si>
  <si>
    <t xml:space="preserve">&gt; 0.10</t>
  </si>
  <si>
    <t xml:space="preserve">&gt; 0.25</t>
  </si>
  <si>
    <t xml:space="preserve">PRA SS1/23 §3.4
SR 11-7 ongoing monitoring</t>
  </si>
  <si>
    <t xml:space="preserve">BREACHED. SHAP distributions shifted materially between training (0.5% bankrupt) and OOT (18.1% bankrupt). Model uses different features to reach conclusions in the stressed cohort. Performance metrics did not flag this.</t>
  </si>
  <si>
    <t xml:space="preserve">C: Explanation Sensitivity
(ESR Ratio)</t>
  </si>
  <si>
    <t xml:space="preserve">Explanation Sensitivity
Ratio per feature</t>
  </si>
  <si>
    <t xml:space="preserve">&gt; 1.5</t>
  </si>
  <si>
    <t xml:space="preserve">&gt; 3.0</t>
  </si>
  <si>
    <t xml:space="preserve">SR 11-7: model behaviour
under stress</t>
  </si>
  <si>
    <t xml:space="preserve">BREACHED. ESR elevated across multiple features. SHAP attributions are more sensitive than predictions to input perturbations — a brittleness finding. Consistent with near-linear data being modelled non-linearly.</t>
  </si>
  <si>
    <t xml:space="preserve">D: Local Consistency
(Behavioural Clustering)</t>
  </si>
  <si>
    <t xml:space="preserve">SHAP-LR calibration
anchor agreement</t>
  </si>
  <si>
    <t xml:space="preserve">&lt; 0.80</t>
  </si>
  <si>
    <t xml:space="preserve">&lt; 0.60</t>
  </si>
  <si>
    <t xml:space="preserve">EU AI Act Art.13
individual transparency</t>
  </si>
  <si>
    <t xml:space="preserve">SHAP-LR Spearman rho=0.93 confirms explanations are globally consistent. Local disagreements exist for borderline firms (Firm C). Enhanced review required for firms in uncertain bucket.</t>
  </si>
  <si>
    <t xml:space="preserve">OVERALL: GREEN / AMBER / RED / AMBER — Two RED findings require documented remediation actions. Explanation drift (B) and ESR brittleness (C) are both consistent with the primary finding: XGBoost is modelling a near-linear problem non-linearly. Remediation: adopt LR as primary (already done). If XGBoost is retained as challenger, SHAP monitoring of Diagnostics B and C must be continuous.</t>
  </si>
</sst>
</file>

<file path=xl/styles.xml><?xml version="1.0" encoding="utf-8"?>
<styleSheet xmlns="http://schemas.openxmlformats.org/spreadsheetml/2006/main">
  <numFmts count="2">
    <numFmt numFmtId="164" formatCode="General"/>
    <numFmt numFmtId="165" formatCode="0.0000"/>
  </numFmts>
  <fonts count="27">
    <font>
      <sz val="11"/>
      <color theme="1"/>
      <name val="Calibri"/>
      <family val="2"/>
      <charset val="1"/>
    </font>
    <font>
      <sz val="10"/>
      <name val="Arial"/>
      <family val="0"/>
    </font>
    <font>
      <sz val="10"/>
      <name val="Arial"/>
      <family val="0"/>
    </font>
    <font>
      <sz val="10"/>
      <name val="Arial"/>
      <family val="0"/>
    </font>
    <font>
      <b val="true"/>
      <sz val="14"/>
      <color rgb="FF1A237E"/>
      <name val="Arial"/>
      <family val="0"/>
      <charset val="1"/>
    </font>
    <font>
      <i val="true"/>
      <sz val="9"/>
      <color rgb="FF455A64"/>
      <name val="Arial"/>
      <family val="0"/>
      <charset val="1"/>
    </font>
    <font>
      <b val="true"/>
      <sz val="11"/>
      <color rgb="FF1A237E"/>
      <name val="Arial"/>
      <family val="0"/>
      <charset val="1"/>
    </font>
    <font>
      <sz val="9"/>
      <color rgb="FF000000"/>
      <name val="Arial"/>
      <family val="0"/>
      <charset val="1"/>
    </font>
    <font>
      <b val="true"/>
      <sz val="10"/>
      <color rgb="FF1B5E20"/>
      <name val="Arial"/>
      <family val="0"/>
      <charset val="1"/>
    </font>
    <font>
      <b val="true"/>
      <sz val="10"/>
      <color rgb="FFB71C1C"/>
      <name val="Arial"/>
      <family val="0"/>
      <charset val="1"/>
    </font>
    <font>
      <b val="true"/>
      <sz val="10"/>
      <color rgb="FFE65100"/>
      <name val="Arial"/>
      <family val="0"/>
      <charset val="1"/>
    </font>
    <font>
      <b val="true"/>
      <sz val="13"/>
      <color rgb="FF1A237E"/>
      <name val="Arial"/>
      <family val="0"/>
      <charset val="1"/>
    </font>
    <font>
      <b val="true"/>
      <sz val="10"/>
      <color rgb="FFFFFFFF"/>
      <name val="Arial"/>
      <family val="0"/>
      <charset val="1"/>
    </font>
    <font>
      <b val="true"/>
      <sz val="9"/>
      <color rgb="FF1A237E"/>
      <name val="Arial"/>
      <family val="0"/>
      <charset val="1"/>
    </font>
    <font>
      <b val="true"/>
      <sz val="9"/>
      <color rgb="FF1B5E20"/>
      <name val="Arial"/>
      <family val="0"/>
      <charset val="1"/>
    </font>
    <font>
      <i val="true"/>
      <sz val="9"/>
      <color rgb="FF000000"/>
      <name val="Arial"/>
      <family val="0"/>
      <charset val="1"/>
    </font>
    <font>
      <sz val="9"/>
      <color rgb="FF1A237E"/>
      <name val="Arial"/>
      <family val="0"/>
      <charset val="1"/>
    </font>
    <font>
      <b val="true"/>
      <sz val="9"/>
      <color rgb="FFE65100"/>
      <name val="Arial"/>
      <family val="0"/>
      <charset val="1"/>
    </font>
    <font>
      <i val="true"/>
      <sz val="9"/>
      <color rgb="FF1A237E"/>
      <name val="Arial"/>
      <family val="0"/>
      <charset val="1"/>
    </font>
    <font>
      <b val="true"/>
      <sz val="9"/>
      <color rgb="FF1565C0"/>
      <name val="Arial"/>
      <family val="0"/>
      <charset val="1"/>
    </font>
    <font>
      <b val="true"/>
      <sz val="9"/>
      <color rgb="FF000000"/>
      <name val="Arial"/>
      <family val="0"/>
      <charset val="1"/>
    </font>
    <font>
      <b val="true"/>
      <sz val="11"/>
      <color rgb="FFB71C1C"/>
      <name val="Arial"/>
      <family val="0"/>
      <charset val="1"/>
    </font>
    <font>
      <b val="true"/>
      <sz val="18"/>
      <color rgb="FF000000"/>
      <name val="Calibri"/>
      <family val="2"/>
    </font>
    <font>
      <sz val="10"/>
      <color rgb="FF000000"/>
      <name val="Calibri"/>
      <family val="2"/>
    </font>
    <font>
      <b val="true"/>
      <sz val="10"/>
      <color rgb="FF000000"/>
      <name val="Calibri"/>
      <family val="2"/>
    </font>
    <font>
      <i val="true"/>
      <sz val="9"/>
      <color rgb="FF1B5E20"/>
      <name val="Arial"/>
      <family val="0"/>
      <charset val="1"/>
    </font>
    <font>
      <i val="true"/>
      <sz val="9"/>
      <color rgb="FFB71C1C"/>
      <name val="Arial"/>
      <family val="0"/>
      <charset val="1"/>
    </font>
  </fonts>
  <fills count="13">
    <fill>
      <patternFill patternType="none"/>
    </fill>
    <fill>
      <patternFill patternType="gray125"/>
    </fill>
    <fill>
      <patternFill patternType="solid">
        <fgColor rgb="FFE3F2FD"/>
        <bgColor rgb="FFECEFF1"/>
      </patternFill>
    </fill>
    <fill>
      <patternFill patternType="solid">
        <fgColor rgb="FFFAFAFA"/>
        <bgColor rgb="FFF9F9F9"/>
      </patternFill>
    </fill>
    <fill>
      <patternFill patternType="solid">
        <fgColor rgb="FFC8E6C9"/>
        <bgColor rgb="FFD9D9D9"/>
      </patternFill>
    </fill>
    <fill>
      <patternFill patternType="solid">
        <fgColor rgb="FFFFCDD2"/>
        <bgColor rgb="FFD9D9D9"/>
      </patternFill>
    </fill>
    <fill>
      <patternFill patternType="solid">
        <fgColor rgb="FFFFF9C4"/>
        <bgColor rgb="FFF5F5F5"/>
      </patternFill>
    </fill>
    <fill>
      <patternFill patternType="solid">
        <fgColor rgb="FF1A237E"/>
        <bgColor rgb="FF333399"/>
      </patternFill>
    </fill>
    <fill>
      <patternFill patternType="solid">
        <fgColor rgb="FFE8EAF6"/>
        <bgColor rgb="FFECEFF1"/>
      </patternFill>
    </fill>
    <fill>
      <patternFill patternType="solid">
        <fgColor rgb="FFECEFF1"/>
        <bgColor rgb="FFE8EAF6"/>
      </patternFill>
    </fill>
    <fill>
      <patternFill patternType="solid">
        <fgColor rgb="FFF5F5F5"/>
        <bgColor rgb="FFF9F9F9"/>
      </patternFill>
    </fill>
    <fill>
      <patternFill patternType="solid">
        <fgColor rgb="FFFFEBEE"/>
        <bgColor rgb="FFF5F5F5"/>
      </patternFill>
    </fill>
    <fill>
      <patternFill patternType="solid">
        <fgColor rgb="FFE8F5E9"/>
        <bgColor rgb="FFECEFF1"/>
      </patternFill>
    </fill>
  </fills>
  <borders count="3">
    <border diagonalUp="false" diagonalDown="false">
      <left/>
      <right/>
      <top/>
      <bottom/>
      <diagonal/>
    </border>
    <border diagonalUp="false" diagonalDown="false">
      <left style="thin">
        <color rgb="FFCCCCCC"/>
      </left>
      <right/>
      <top style="thin">
        <color rgb="FFCCCCCC"/>
      </top>
      <bottom style="thin">
        <color rgb="FFCCCCCC"/>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8" fillId="4" borderId="0" xfId="0" applyFont="true" applyBorder="true" applyAlignment="true" applyProtection="false">
      <alignment horizontal="left" vertical="center" textRotation="0" wrapText="false" indent="0" shrinkToFit="false"/>
      <protection locked="true" hidden="false"/>
    </xf>
    <xf numFmtId="164" fontId="9" fillId="5" borderId="0" xfId="0" applyFont="true" applyBorder="true" applyAlignment="true" applyProtection="false">
      <alignment horizontal="left" vertical="center" textRotation="0" wrapText="false" indent="0" shrinkToFit="false"/>
      <protection locked="true" hidden="false"/>
    </xf>
    <xf numFmtId="164" fontId="10" fillId="6" borderId="0" xfId="0" applyFont="true" applyBorder="true" applyAlignment="true" applyProtection="false">
      <alignment horizontal="left" vertical="center" textRotation="0" wrapText="false" indent="0" shrinkToFit="false"/>
      <protection locked="true" hidden="false"/>
    </xf>
    <xf numFmtId="164" fontId="11" fillId="0" borderId="0" xfId="0" applyFont="true" applyBorder="true" applyAlignment="true" applyProtection="false">
      <alignment horizontal="center" vertical="center" textRotation="0" wrapText="false" indent="0" shrinkToFit="false"/>
      <protection locked="true" hidden="false"/>
    </xf>
    <xf numFmtId="164" fontId="12" fillId="7" borderId="2" xfId="0" applyFont="true" applyBorder="true" applyAlignment="true" applyProtection="false">
      <alignment horizontal="center" vertical="center" textRotation="0" wrapText="true" indent="0" shrinkToFit="false"/>
      <protection locked="true" hidden="false"/>
    </xf>
    <xf numFmtId="164" fontId="13" fillId="8" borderId="2" xfId="0" applyFont="true" applyBorder="true" applyAlignment="true" applyProtection="false">
      <alignment horizontal="left" vertical="center" textRotation="0" wrapText="true" indent="0" shrinkToFit="false"/>
      <protection locked="true" hidden="false"/>
    </xf>
    <xf numFmtId="164" fontId="7" fillId="0" borderId="2" xfId="0" applyFont="true" applyBorder="true" applyAlignment="true" applyProtection="false">
      <alignment horizontal="left" vertical="center" textRotation="0" wrapText="true" indent="0" shrinkToFit="false"/>
      <protection locked="true" hidden="false"/>
    </xf>
    <xf numFmtId="164" fontId="14" fillId="4" borderId="2" xfId="0" applyFont="true" applyBorder="true" applyAlignment="true" applyProtection="false">
      <alignment horizontal="center" vertical="center" textRotation="0" wrapText="true" indent="0" shrinkToFit="false"/>
      <protection locked="true" hidden="false"/>
    </xf>
    <xf numFmtId="164" fontId="7" fillId="9" borderId="2"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center" vertical="center" textRotation="0" wrapText="false" indent="0" shrinkToFit="false"/>
      <protection locked="true" hidden="false"/>
    </xf>
    <xf numFmtId="164" fontId="8" fillId="4" borderId="2" xfId="0" applyFont="true" applyBorder="true" applyAlignment="true" applyProtection="false">
      <alignment horizontal="center" vertical="center" textRotation="0" wrapText="false" indent="0" shrinkToFit="false"/>
      <protection locked="true" hidden="false"/>
    </xf>
    <xf numFmtId="164" fontId="15" fillId="0" borderId="2" xfId="0" applyFont="true" applyBorder="true" applyAlignment="true" applyProtection="false">
      <alignment horizontal="center" vertical="center" textRotation="0" wrapText="false" indent="0" shrinkToFit="false"/>
      <protection locked="true" hidden="false"/>
    </xf>
    <xf numFmtId="164" fontId="16" fillId="10" borderId="2" xfId="0" applyFont="true" applyBorder="true" applyAlignment="true" applyProtection="false">
      <alignment horizontal="left" vertical="center" textRotation="0" wrapText="true" indent="0" shrinkToFit="false"/>
      <protection locked="true" hidden="false"/>
    </xf>
    <xf numFmtId="164" fontId="7" fillId="10" borderId="2" xfId="0" applyFont="true" applyBorder="true" applyAlignment="true" applyProtection="false">
      <alignment horizontal="center" vertical="center" textRotation="0" wrapText="true" indent="0" shrinkToFit="false"/>
      <protection locked="true" hidden="false"/>
    </xf>
    <xf numFmtId="164" fontId="17" fillId="6" borderId="2" xfId="0" applyFont="true" applyBorder="true" applyAlignment="true" applyProtection="false">
      <alignment horizontal="center" vertical="center" textRotation="0" wrapText="true" indent="0" shrinkToFit="false"/>
      <protection locked="true" hidden="false"/>
    </xf>
    <xf numFmtId="164" fontId="10" fillId="6" borderId="2" xfId="0" applyFont="true" applyBorder="true" applyAlignment="true" applyProtection="false">
      <alignment horizontal="center" vertical="center" textRotation="0" wrapText="false" indent="0" shrinkToFit="false"/>
      <protection locked="true" hidden="false"/>
    </xf>
    <xf numFmtId="164" fontId="7" fillId="10" borderId="2" xfId="0" applyFont="true" applyBorder="true" applyAlignment="true" applyProtection="false">
      <alignment horizontal="center" vertical="center" textRotation="0" wrapText="false" indent="0" shrinkToFit="false"/>
      <protection locked="true" hidden="false"/>
    </xf>
    <xf numFmtId="164" fontId="18" fillId="2" borderId="0" xfId="0" applyFont="true" applyBorder="true" applyAlignment="true" applyProtection="false">
      <alignment horizontal="center" vertical="center" textRotation="0" wrapText="true" indent="0" shrinkToFit="false"/>
      <protection locked="true" hidden="false"/>
    </xf>
    <xf numFmtId="164" fontId="14" fillId="4" borderId="2" xfId="0" applyFont="true" applyBorder="true" applyAlignment="true" applyProtection="false">
      <alignment horizontal="left" vertical="center" textRotation="0" wrapText="false" indent="0" shrinkToFit="false"/>
      <protection locked="true" hidden="false"/>
    </xf>
    <xf numFmtId="164" fontId="19" fillId="0" borderId="2" xfId="0" applyFont="true" applyBorder="true" applyAlignment="true" applyProtection="false">
      <alignment horizontal="center" vertical="center" textRotation="0" wrapText="false" indent="0" shrinkToFit="false"/>
      <protection locked="true" hidden="false"/>
    </xf>
    <xf numFmtId="165" fontId="0" fillId="4" borderId="2" xfId="0" applyFont="false" applyBorder="true" applyAlignment="true" applyProtection="false">
      <alignment horizontal="center" vertical="center" textRotation="0" wrapText="false" indent="0" shrinkToFit="false"/>
      <protection locked="true" hidden="false"/>
    </xf>
    <xf numFmtId="164" fontId="0" fillId="4" borderId="2" xfId="0" applyFont="false" applyBorder="true" applyAlignment="true" applyProtection="false">
      <alignment horizontal="center" vertical="center" textRotation="0" wrapText="false" indent="0" shrinkToFit="false"/>
      <protection locked="true" hidden="false"/>
    </xf>
    <xf numFmtId="165" fontId="0" fillId="0" borderId="2" xfId="0" applyFont="false" applyBorder="true" applyAlignment="true" applyProtection="false">
      <alignment horizontal="center" vertical="center" textRotation="0" wrapText="false" indent="0" shrinkToFit="false"/>
      <protection locked="true" hidden="false"/>
    </xf>
    <xf numFmtId="164" fontId="20" fillId="4" borderId="2" xfId="0" applyFont="true" applyBorder="true" applyAlignment="true" applyProtection="false">
      <alignment horizontal="center" vertical="center" textRotation="0" wrapText="false" indent="0" shrinkToFit="false"/>
      <protection locked="true" hidden="false"/>
    </xf>
    <xf numFmtId="164" fontId="0" fillId="6" borderId="2" xfId="0" applyFont="false" applyBorder="true" applyAlignment="true" applyProtection="false">
      <alignment horizontal="center" vertical="center" textRotation="0" wrapText="false" indent="0" shrinkToFit="false"/>
      <protection locked="true" hidden="false"/>
    </xf>
    <xf numFmtId="164" fontId="7" fillId="10" borderId="2" xfId="0" applyFont="true" applyBorder="true" applyAlignment="true" applyProtection="false">
      <alignment horizontal="left" vertical="center" textRotation="0" wrapText="false" indent="0" shrinkToFit="false"/>
      <protection locked="true" hidden="false"/>
    </xf>
    <xf numFmtId="165" fontId="0" fillId="10" borderId="2" xfId="0" applyFont="false" applyBorder="true" applyAlignment="true" applyProtection="false">
      <alignment horizontal="center" vertical="center" textRotation="0" wrapText="false" indent="0" shrinkToFit="false"/>
      <protection locked="true" hidden="false"/>
    </xf>
    <xf numFmtId="164" fontId="0" fillId="10" borderId="2" xfId="0" applyFont="false" applyBorder="true" applyAlignment="true" applyProtection="false">
      <alignment horizontal="center" vertical="center" textRotation="0" wrapText="false" indent="0" shrinkToFit="false"/>
      <protection locked="true" hidden="false"/>
    </xf>
    <xf numFmtId="164" fontId="20" fillId="6" borderId="2" xfId="0" applyFont="true" applyBorder="true" applyAlignment="true" applyProtection="false">
      <alignment horizontal="center" vertical="center" textRotation="0" wrapText="false" indent="0" shrinkToFit="false"/>
      <protection locked="true" hidden="false"/>
    </xf>
    <xf numFmtId="164" fontId="0" fillId="5" borderId="2" xfId="0" applyFont="false" applyBorder="true" applyAlignment="true" applyProtection="false">
      <alignment horizontal="center" vertical="center" textRotation="0" wrapText="false" indent="0" shrinkToFit="false"/>
      <protection locked="true" hidden="false"/>
    </xf>
    <xf numFmtId="164" fontId="20" fillId="5" borderId="2" xfId="0" applyFont="true" applyBorder="true" applyAlignment="true" applyProtection="false">
      <alignment horizontal="center" vertical="center" textRotation="0" wrapText="false" indent="0" shrinkToFit="false"/>
      <protection locked="true" hidden="false"/>
    </xf>
    <xf numFmtId="164" fontId="21" fillId="5" borderId="0" xfId="0" applyFont="true" applyBorder="true" applyAlignment="true" applyProtection="false">
      <alignment horizontal="left" vertical="center" textRotation="0" wrapText="false" indent="0" shrinkToFit="false"/>
      <protection locked="true" hidden="false"/>
    </xf>
    <xf numFmtId="164" fontId="7" fillId="11" borderId="1" xfId="0" applyFont="true" applyBorder="true" applyAlignment="true" applyProtection="false">
      <alignment horizontal="left" vertical="top" textRotation="0" wrapText="true" indent="0" shrinkToFit="false"/>
      <protection locked="true" hidden="false"/>
    </xf>
    <xf numFmtId="164" fontId="20" fillId="8" borderId="2"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xf numFmtId="164" fontId="20" fillId="10" borderId="2" xfId="0" applyFont="true" applyBorder="true" applyAlignment="true" applyProtection="false">
      <alignment horizontal="center" vertical="center" textRotation="0" wrapText="false" indent="0" shrinkToFit="false"/>
      <protection locked="true" hidden="false"/>
    </xf>
    <xf numFmtId="164" fontId="18"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4" fontId="19" fillId="4" borderId="2" xfId="0" applyFont="true" applyBorder="true" applyAlignment="true" applyProtection="false">
      <alignment horizontal="center" vertical="center" textRotation="0" wrapText="false" indent="0" shrinkToFit="false"/>
      <protection locked="true" hidden="false"/>
    </xf>
    <xf numFmtId="164" fontId="20" fillId="4" borderId="2" xfId="0" applyFont="true" applyBorder="true" applyAlignment="true" applyProtection="false">
      <alignment horizontal="left" vertical="center" textRotation="0" wrapText="false" indent="0" shrinkToFit="false"/>
      <protection locked="true" hidden="false"/>
    </xf>
    <xf numFmtId="164" fontId="20" fillId="12" borderId="2" xfId="0" applyFont="true" applyBorder="true" applyAlignment="true" applyProtection="false">
      <alignment horizontal="center" vertical="center" textRotation="0" wrapText="false" indent="0" shrinkToFit="false"/>
      <protection locked="true" hidden="false"/>
    </xf>
    <xf numFmtId="164" fontId="25" fillId="0" borderId="2" xfId="0" applyFont="true" applyBorder="true" applyAlignment="true" applyProtection="false">
      <alignment horizontal="left" vertical="center" textRotation="0" wrapText="false" indent="0" shrinkToFit="false"/>
      <protection locked="true" hidden="false"/>
    </xf>
    <xf numFmtId="164" fontId="19" fillId="6" borderId="2" xfId="0" applyFont="true" applyBorder="true" applyAlignment="true" applyProtection="false">
      <alignment horizontal="center" vertical="center" textRotation="0" wrapText="false" indent="0" shrinkToFit="false"/>
      <protection locked="true" hidden="false"/>
    </xf>
    <xf numFmtId="164" fontId="7" fillId="6" borderId="2" xfId="0" applyFont="true" applyBorder="true" applyAlignment="true" applyProtection="false">
      <alignment horizontal="left" vertical="center" textRotation="0" wrapText="false" indent="0" shrinkToFit="false"/>
      <protection locked="true" hidden="false"/>
    </xf>
    <xf numFmtId="164" fontId="20" fillId="11" borderId="2" xfId="0" applyFont="true" applyBorder="true" applyAlignment="true" applyProtection="false">
      <alignment horizontal="center" vertical="center" textRotation="0" wrapText="false" indent="0" shrinkToFit="false"/>
      <protection locked="true" hidden="false"/>
    </xf>
    <xf numFmtId="164" fontId="26" fillId="0" borderId="2" xfId="0" applyFont="true" applyBorder="true" applyAlignment="true" applyProtection="false">
      <alignment horizontal="left" vertical="center" textRotation="0" wrapText="fals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10" fillId="6" borderId="2" xfId="0" applyFont="true" applyBorder="true" applyAlignment="true" applyProtection="false">
      <alignment horizontal="left" vertical="center" textRotation="0" wrapText="true" indent="0" shrinkToFit="false"/>
      <protection locked="true" hidden="false"/>
    </xf>
    <xf numFmtId="164" fontId="15" fillId="0" borderId="2" xfId="0" applyFont="true" applyBorder="true" applyAlignment="true" applyProtection="false">
      <alignment horizontal="left" vertical="center" textRotation="0" wrapText="true" indent="0" shrinkToFit="false"/>
      <protection locked="true" hidden="false"/>
    </xf>
    <xf numFmtId="164" fontId="9" fillId="5" borderId="2" xfId="0" applyFont="true" applyBorder="true" applyAlignment="true" applyProtection="false">
      <alignment horizontal="left" vertical="center" textRotation="0" wrapText="true" indent="0" shrinkToFit="false"/>
      <protection locked="true" hidden="false"/>
    </xf>
    <xf numFmtId="164" fontId="9" fillId="5" borderId="2" xfId="0" applyFont="true" applyBorder="true" applyAlignment="true" applyProtection="false">
      <alignment horizontal="center" vertical="center" textRotation="0" wrapText="fals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9F9F9"/>
      <rgbColor rgb="FFFF00FF"/>
      <rgbColor rgb="FF00FFFF"/>
      <rgbColor rgb="FF800000"/>
      <rgbColor rgb="FF1B5E20"/>
      <rgbColor rgb="FF000080"/>
      <rgbColor rgb="FF808000"/>
      <rgbColor rgb="FF800080"/>
      <rgbColor rgb="FF008080"/>
      <rgbColor rgb="FFCCCCCC"/>
      <rgbColor rgb="FF878787"/>
      <rgbColor rgb="FF9999FF"/>
      <rgbColor rgb="FF993366"/>
      <rgbColor rgb="FFFFF9C4"/>
      <rgbColor rgb="FFE3F2FD"/>
      <rgbColor rgb="FF660066"/>
      <rgbColor rgb="FFFF8080"/>
      <rgbColor rgb="FF1565C0"/>
      <rgbColor rgb="FFD9D9D9"/>
      <rgbColor rgb="FF000080"/>
      <rgbColor rgb="FFFF00FF"/>
      <rgbColor rgb="FFFAFAFA"/>
      <rgbColor rgb="FF00FFFF"/>
      <rgbColor rgb="FF800080"/>
      <rgbColor rgb="FF800000"/>
      <rgbColor rgb="FF008080"/>
      <rgbColor rgb="FF0000FF"/>
      <rgbColor rgb="FF00CCFF"/>
      <rgbColor rgb="FFE8F5E9"/>
      <rgbColor rgb="FFC8E6C9"/>
      <rgbColor rgb="FFF5F5F5"/>
      <rgbColor rgb="FFE8EAF6"/>
      <rgbColor rgb="FFFFEBEE"/>
      <rgbColor rgb="FFECEFF1"/>
      <rgbColor rgb="FFFFCDD2"/>
      <rgbColor rgb="FF3366FF"/>
      <rgbColor rgb="FF33CCCC"/>
      <rgbColor rgb="FF99CC00"/>
      <rgbColor rgb="FFFFCC00"/>
      <rgbColor rgb="FFFF9900"/>
      <rgbColor rgb="FFE65100"/>
      <rgbColor rgb="FF455A64"/>
      <rgbColor rgb="FF969696"/>
      <rgbColor rgb="FF1A237E"/>
      <rgbColor rgb="FF43A047"/>
      <rgbColor rgb="FF003300"/>
      <rgbColor rgb="FF333300"/>
      <rgbColor rgb="FFB71C1C"/>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False Negatives by Model and Cost Ratio</a:t>
            </a:r>
          </a:p>
        </c:rich>
      </c:tx>
      <c:overlay val="0"/>
      <c:spPr>
        <a:noFill/>
        <a:ln w="0">
          <a:noFill/>
        </a:ln>
      </c:spPr>
    </c:title>
    <c:autoTitleDeleted val="0"/>
    <c:plotArea>
      <c:barChart>
        <c:barDir val="col"/>
        <c:grouping val="clustered"/>
        <c:varyColors val="0"/>
        <c:ser>
          <c:idx val="0"/>
          <c:order val="0"/>
          <c:tx>
            <c:strRef>
              <c:f>'Asymmetric Loss Analysis'!B14</c:f>
              <c:strCache>
                <c:ptCount val="1"/>
                <c:pt idx="0">
                  <c:v>LR FN</c:v>
                </c:pt>
              </c:strCache>
            </c:strRef>
          </c:tx>
          <c:spPr>
            <a:solidFill>
              <a:srgbClr val="1565c0"/>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'Asymmetric Loss Analysis'!$A$15:$A$19</c:f>
              <c:strCache>
                <c:ptCount val="5"/>
                <c:pt idx="0">
                  <c:v>2:1</c:v>
                </c:pt>
                <c:pt idx="1">
                  <c:v>5:1</c:v>
                </c:pt>
                <c:pt idx="2">
                  <c:v>10:1</c:v>
                </c:pt>
                <c:pt idx="3">
                  <c:v>20:1</c:v>
                </c:pt>
                <c:pt idx="4">
                  <c:v>50:1</c:v>
                </c:pt>
              </c:strCache>
            </c:strRef>
          </c:cat>
          <c:val>
            <c:numRef>
              <c:f>'Asymmetric Loss Analysis'!$B$15:$B$19</c:f>
              <c:numCache>
                <c:formatCode>General</c:formatCode>
                <c:ptCount val="5"/>
                <c:pt idx="0">
                  <c:v>4</c:v>
                </c:pt>
                <c:pt idx="1">
                  <c:v>2</c:v>
                </c:pt>
                <c:pt idx="2">
                  <c:v>1</c:v>
                </c:pt>
                <c:pt idx="3">
                  <c:v>1</c:v>
                </c:pt>
                <c:pt idx="4">
                  <c:v>0</c:v>
                </c:pt>
              </c:numCache>
            </c:numRef>
          </c:val>
        </c:ser>
        <c:ser>
          <c:idx val="1"/>
          <c:order val="1"/>
          <c:tx>
            <c:strRef>
              <c:f>'Asymmetric Loss Analysis'!C14</c:f>
              <c:strCache>
                <c:ptCount val="1"/>
                <c:pt idx="0">
                  <c:v>XGBoost FN</c:v>
                </c:pt>
              </c:strCache>
            </c:strRef>
          </c:tx>
          <c:spPr>
            <a:solidFill>
              <a:srgbClr val="e65100"/>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'Asymmetric Loss Analysis'!$A$15:$A$19</c:f>
              <c:strCache>
                <c:ptCount val="5"/>
                <c:pt idx="0">
                  <c:v>2:1</c:v>
                </c:pt>
                <c:pt idx="1">
                  <c:v>5:1</c:v>
                </c:pt>
                <c:pt idx="2">
                  <c:v>10:1</c:v>
                </c:pt>
                <c:pt idx="3">
                  <c:v>20:1</c:v>
                </c:pt>
                <c:pt idx="4">
                  <c:v>50:1</c:v>
                </c:pt>
              </c:strCache>
            </c:strRef>
          </c:cat>
          <c:val>
            <c:numRef>
              <c:f>'Asymmetric Loss Analysis'!$C$15:$C$19</c:f>
              <c:numCache>
                <c:formatCode>General</c:formatCode>
                <c:ptCount val="5"/>
                <c:pt idx="0">
                  <c:v>30</c:v>
                </c:pt>
                <c:pt idx="1">
                  <c:v>22</c:v>
                </c:pt>
                <c:pt idx="2">
                  <c:v>17</c:v>
                </c:pt>
                <c:pt idx="3">
                  <c:v>8</c:v>
                </c:pt>
                <c:pt idx="4">
                  <c:v>5</c:v>
                </c:pt>
              </c:numCache>
            </c:numRef>
          </c:val>
        </c:ser>
        <c:ser>
          <c:idx val="2"/>
          <c:order val="2"/>
          <c:tx>
            <c:strRef>
              <c:f>'Asymmetric Loss Analysis'!D14</c:f>
              <c:strCache>
                <c:ptCount val="1"/>
                <c:pt idx="0">
                  <c:v>LR-7feat FN</c:v>
                </c:pt>
              </c:strCache>
            </c:strRef>
          </c:tx>
          <c:spPr>
            <a:solidFill>
              <a:srgbClr val="43a047"/>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'Asymmetric Loss Analysis'!$A$15:$A$19</c:f>
              <c:strCache>
                <c:ptCount val="5"/>
                <c:pt idx="0">
                  <c:v>2:1</c:v>
                </c:pt>
                <c:pt idx="1">
                  <c:v>5:1</c:v>
                </c:pt>
                <c:pt idx="2">
                  <c:v>10:1</c:v>
                </c:pt>
                <c:pt idx="3">
                  <c:v>20:1</c:v>
                </c:pt>
                <c:pt idx="4">
                  <c:v>50:1</c:v>
                </c:pt>
              </c:strCache>
            </c:strRef>
          </c:cat>
          <c:val>
            <c:numRef>
              <c:f>'Asymmetric Loss Analysis'!$D$15:$D$19</c:f>
              <c:numCache>
                <c:formatCode>General</c:formatCode>
                <c:ptCount val="5"/>
                <c:pt idx="0">
                  <c:v>5</c:v>
                </c:pt>
                <c:pt idx="1">
                  <c:v>2</c:v>
                </c:pt>
                <c:pt idx="2">
                  <c:v>1</c:v>
                </c:pt>
                <c:pt idx="3">
                  <c:v>0</c:v>
                </c:pt>
                <c:pt idx="4">
                  <c:v>0</c:v>
                </c:pt>
              </c:numCache>
            </c:numRef>
          </c:val>
        </c:ser>
        <c:gapWidth val="150"/>
        <c:overlap val="0"/>
        <c:axId val="31775609"/>
        <c:axId val="23949026"/>
      </c:barChart>
      <c:catAx>
        <c:axId val="3177560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3949026"/>
        <c:crosses val="autoZero"/>
        <c:auto val="1"/>
        <c:lblAlgn val="ctr"/>
        <c:lblOffset val="100"/>
        <c:noMultiLvlLbl val="0"/>
      </c:catAx>
      <c:valAx>
        <c:axId val="2394902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False Negatives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77560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0</xdr:row>
      <xdr:rowOff>190440</xdr:rowOff>
    </xdr:from>
    <xdr:to>
      <xdr:col>23</xdr:col>
      <xdr:colOff>581760</xdr:colOff>
      <xdr:row>23</xdr:row>
      <xdr:rowOff>1440</xdr:rowOff>
    </xdr:to>
    <xdr:graphicFrame>
      <xdr:nvGraphicFramePr>
        <xdr:cNvPr id="0" name="Chart 1"/>
        <xdr:cNvGraphicFramePr/>
      </xdr:nvGraphicFramePr>
      <xdr:xfrm>
        <a:off x="7894440" y="190440"/>
        <a:ext cx="7919640" cy="43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76"/>
  </cols>
  <sheetData>
    <row r="1" customFormat="false" ht="17.35" hidden="false" customHeight="false" outlineLevel="0" collapsed="false">
      <c r="A1" s="1" t="s">
        <v>0</v>
      </c>
      <c r="B1" s="1"/>
    </row>
    <row r="2" customFormat="false" ht="15" hidden="false" customHeight="false" outlineLevel="0" collapsed="false">
      <c r="A2" s="2" t="s">
        <v>1</v>
      </c>
      <c r="B2" s="2"/>
    </row>
    <row r="4" customFormat="false" ht="15" hidden="false" customHeight="false" outlineLevel="0" collapsed="false">
      <c r="A4" s="3" t="s">
        <v>2</v>
      </c>
      <c r="B4" s="3"/>
    </row>
    <row r="5" customFormat="false" ht="60" hidden="false" customHeight="true" outlineLevel="0" collapsed="false">
      <c r="A5" s="4" t="s">
        <v>3</v>
      </c>
      <c r="B5" s="4"/>
    </row>
    <row r="7" customFormat="false" ht="15" hidden="false" customHeight="false" outlineLevel="0" collapsed="false">
      <c r="A7" s="3" t="s">
        <v>4</v>
      </c>
      <c r="B7" s="3"/>
    </row>
    <row r="8" customFormat="false" ht="15" hidden="false" customHeight="false" outlineLevel="0" collapsed="false">
      <c r="A8" s="5" t="s">
        <v>5</v>
      </c>
      <c r="B8" s="5"/>
    </row>
    <row r="9" customFormat="false" ht="60" hidden="false" customHeight="true" outlineLevel="0" collapsed="false">
      <c r="A9" s="4" t="s">
        <v>6</v>
      </c>
      <c r="B9" s="4"/>
    </row>
    <row r="11" customFormat="false" ht="15" hidden="false" customHeight="false" outlineLevel="0" collapsed="false">
      <c r="A11" s="5" t="s">
        <v>7</v>
      </c>
      <c r="B11" s="5"/>
    </row>
    <row r="12" customFormat="false" ht="60" hidden="false" customHeight="true" outlineLevel="0" collapsed="false">
      <c r="A12" s="4" t="s">
        <v>8</v>
      </c>
      <c r="B12" s="4"/>
    </row>
    <row r="14" customFormat="false" ht="15" hidden="false" customHeight="false" outlineLevel="0" collapsed="false">
      <c r="A14" s="6" t="s">
        <v>9</v>
      </c>
      <c r="B14" s="6"/>
    </row>
    <row r="15" customFormat="false" ht="60" hidden="false" customHeight="true" outlineLevel="0" collapsed="false">
      <c r="A15" s="4" t="s">
        <v>10</v>
      </c>
      <c r="B15" s="4"/>
    </row>
    <row r="17" customFormat="false" ht="15" hidden="false" customHeight="false" outlineLevel="0" collapsed="false">
      <c r="A17" s="7" t="s">
        <v>11</v>
      </c>
      <c r="B17" s="7"/>
    </row>
    <row r="18" customFormat="false" ht="60" hidden="false" customHeight="true" outlineLevel="0" collapsed="false">
      <c r="A18" s="4" t="s">
        <v>12</v>
      </c>
      <c r="B18" s="4"/>
    </row>
    <row r="20" customFormat="false" ht="15" hidden="false" customHeight="false" outlineLevel="0" collapsed="false">
      <c r="A20" s="6" t="s">
        <v>13</v>
      </c>
      <c r="B20" s="6"/>
    </row>
    <row r="21" customFormat="false" ht="60" hidden="false" customHeight="true" outlineLevel="0" collapsed="false">
      <c r="A21" s="4" t="s">
        <v>14</v>
      </c>
      <c r="B21" s="4"/>
    </row>
  </sheetData>
  <mergeCells count="15">
    <mergeCell ref="A1:B1"/>
    <mergeCell ref="A2:B2"/>
    <mergeCell ref="A4:B4"/>
    <mergeCell ref="A5:B5"/>
    <mergeCell ref="A7:B7"/>
    <mergeCell ref="A8:B8"/>
    <mergeCell ref="A9:B9"/>
    <mergeCell ref="A11:B11"/>
    <mergeCell ref="A12:B12"/>
    <mergeCell ref="A14:B14"/>
    <mergeCell ref="A15:B15"/>
    <mergeCell ref="A17:B17"/>
    <mergeCell ref="A18:B18"/>
    <mergeCell ref="A20:B20"/>
    <mergeCell ref="A21:B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0"/>
    <col collapsed="false" customWidth="true" hidden="false" outlineLevel="0" max="3" min="3" style="0" width="14"/>
    <col collapsed="false" customWidth="true" hidden="false" outlineLevel="0" max="4" min="4" style="0" width="16"/>
    <col collapsed="false" customWidth="true" hidden="false" outlineLevel="0" max="6" min="5" style="0" width="10"/>
    <col collapsed="false" customWidth="true" hidden="false" outlineLevel="0" max="7" min="7" style="0" width="14"/>
    <col collapsed="false" customWidth="true" hidden="false" outlineLevel="0" max="8" min="8" style="0" width="36"/>
  </cols>
  <sheetData>
    <row r="1" customFormat="false" ht="16.15" hidden="false" customHeight="false" outlineLevel="0" collapsed="false">
      <c r="A1" s="8" t="s">
        <v>15</v>
      </c>
      <c r="B1" s="8"/>
      <c r="C1" s="8"/>
      <c r="D1" s="8"/>
      <c r="E1" s="8"/>
      <c r="F1" s="8"/>
      <c r="G1" s="8"/>
      <c r="H1" s="8"/>
    </row>
    <row r="3" customFormat="false" ht="15" hidden="false" customHeight="false" outlineLevel="0" collapsed="false">
      <c r="A3" s="2" t="s">
        <v>16</v>
      </c>
      <c r="B3" s="2"/>
      <c r="C3" s="2"/>
      <c r="D3" s="2"/>
      <c r="E3" s="2"/>
      <c r="F3" s="2"/>
      <c r="G3" s="2"/>
      <c r="H3" s="2"/>
    </row>
    <row r="5" customFormat="false" ht="15" hidden="false" customHeight="false" outlineLevel="0" collapsed="false">
      <c r="A5" s="9" t="s">
        <v>17</v>
      </c>
      <c r="B5" s="9" t="s">
        <v>18</v>
      </c>
      <c r="C5" s="9" t="s">
        <v>19</v>
      </c>
      <c r="D5" s="9" t="s">
        <v>20</v>
      </c>
      <c r="E5" s="9" t="s">
        <v>21</v>
      </c>
      <c r="F5" s="9" t="s">
        <v>22</v>
      </c>
      <c r="G5" s="9" t="s">
        <v>23</v>
      </c>
      <c r="H5" s="9" t="s">
        <v>24</v>
      </c>
    </row>
    <row r="6" customFormat="false" ht="30" hidden="false" customHeight="true" outlineLevel="0" collapsed="false">
      <c r="A6" s="10" t="s">
        <v>25</v>
      </c>
      <c r="B6" s="11" t="s">
        <v>26</v>
      </c>
      <c r="C6" s="12" t="s">
        <v>27</v>
      </c>
      <c r="D6" s="13" t="s">
        <v>28</v>
      </c>
      <c r="E6" s="14" t="s">
        <v>29</v>
      </c>
      <c r="F6" s="15" t="s">
        <v>30</v>
      </c>
      <c r="G6" s="16" t="s">
        <v>31</v>
      </c>
      <c r="H6" s="11" t="s">
        <v>32</v>
      </c>
    </row>
    <row r="7" customFormat="false" ht="30" hidden="false" customHeight="true" outlineLevel="0" collapsed="false">
      <c r="A7" s="17"/>
      <c r="B7" s="11" t="s">
        <v>33</v>
      </c>
      <c r="C7" s="12" t="s">
        <v>34</v>
      </c>
      <c r="D7" s="18" t="s">
        <v>35</v>
      </c>
      <c r="E7" s="14" t="s">
        <v>36</v>
      </c>
      <c r="F7" s="15" t="s">
        <v>30</v>
      </c>
      <c r="G7" s="16" t="s">
        <v>31</v>
      </c>
      <c r="H7" s="11" t="s">
        <v>37</v>
      </c>
    </row>
    <row r="8" customFormat="false" ht="30" hidden="false" customHeight="true" outlineLevel="0" collapsed="false">
      <c r="A8" s="17"/>
      <c r="B8" s="11" t="s">
        <v>38</v>
      </c>
      <c r="C8" s="12" t="s">
        <v>39</v>
      </c>
      <c r="D8" s="13" t="s">
        <v>40</v>
      </c>
      <c r="E8" s="14" t="s">
        <v>41</v>
      </c>
      <c r="F8" s="15" t="s">
        <v>30</v>
      </c>
      <c r="G8" s="16" t="s">
        <v>31</v>
      </c>
      <c r="H8" s="11" t="s">
        <v>42</v>
      </c>
    </row>
    <row r="9" customFormat="false" ht="30" hidden="false" customHeight="true" outlineLevel="0" collapsed="false">
      <c r="A9" s="10" t="s">
        <v>43</v>
      </c>
      <c r="B9" s="11" t="s">
        <v>44</v>
      </c>
      <c r="C9" s="12" t="s">
        <v>45</v>
      </c>
      <c r="D9" s="18" t="s">
        <v>46</v>
      </c>
      <c r="E9" s="14" t="s">
        <v>47</v>
      </c>
      <c r="F9" s="15" t="s">
        <v>30</v>
      </c>
      <c r="G9" s="16" t="s">
        <v>48</v>
      </c>
      <c r="H9" s="11" t="s">
        <v>49</v>
      </c>
    </row>
    <row r="10" customFormat="false" ht="30" hidden="false" customHeight="true" outlineLevel="0" collapsed="false">
      <c r="A10" s="17"/>
      <c r="B10" s="11" t="s">
        <v>50</v>
      </c>
      <c r="C10" s="12" t="s">
        <v>51</v>
      </c>
      <c r="D10" s="13" t="s">
        <v>52</v>
      </c>
      <c r="E10" s="14" t="s">
        <v>53</v>
      </c>
      <c r="F10" s="15" t="s">
        <v>30</v>
      </c>
      <c r="G10" s="16" t="s">
        <v>54</v>
      </c>
      <c r="H10" s="11" t="s">
        <v>55</v>
      </c>
    </row>
    <row r="11" customFormat="false" ht="30" hidden="false" customHeight="true" outlineLevel="0" collapsed="false">
      <c r="A11" s="10" t="s">
        <v>56</v>
      </c>
      <c r="B11" s="11" t="s">
        <v>57</v>
      </c>
      <c r="C11" s="12" t="s">
        <v>58</v>
      </c>
      <c r="D11" s="18" t="s">
        <v>59</v>
      </c>
      <c r="E11" s="14" t="s">
        <v>60</v>
      </c>
      <c r="F11" s="15" t="s">
        <v>30</v>
      </c>
      <c r="G11" s="16" t="s">
        <v>61</v>
      </c>
      <c r="H11" s="11" t="s">
        <v>62</v>
      </c>
    </row>
    <row r="12" customFormat="false" ht="30" hidden="false" customHeight="true" outlineLevel="0" collapsed="false">
      <c r="A12" s="17"/>
      <c r="B12" s="11" t="s">
        <v>63</v>
      </c>
      <c r="C12" s="12" t="s">
        <v>64</v>
      </c>
      <c r="D12" s="13" t="s">
        <v>65</v>
      </c>
      <c r="E12" s="14" t="s">
        <v>66</v>
      </c>
      <c r="F12" s="15" t="s">
        <v>30</v>
      </c>
      <c r="G12" s="16" t="s">
        <v>61</v>
      </c>
      <c r="H12" s="11" t="s">
        <v>67</v>
      </c>
    </row>
    <row r="13" customFormat="false" ht="30" hidden="false" customHeight="true" outlineLevel="0" collapsed="false">
      <c r="A13" s="10" t="s">
        <v>68</v>
      </c>
      <c r="B13" s="11" t="s">
        <v>69</v>
      </c>
      <c r="C13" s="12" t="s">
        <v>70</v>
      </c>
      <c r="D13" s="18" t="s">
        <v>71</v>
      </c>
      <c r="E13" s="14" t="s">
        <v>72</v>
      </c>
      <c r="F13" s="15" t="s">
        <v>30</v>
      </c>
      <c r="G13" s="16" t="s">
        <v>73</v>
      </c>
      <c r="H13" s="11" t="s">
        <v>74</v>
      </c>
    </row>
    <row r="14" customFormat="false" ht="30" hidden="false" customHeight="true" outlineLevel="0" collapsed="false">
      <c r="A14" s="10" t="s">
        <v>75</v>
      </c>
      <c r="B14" s="11" t="s">
        <v>76</v>
      </c>
      <c r="C14" s="13" t="s">
        <v>77</v>
      </c>
      <c r="D14" s="19" t="s">
        <v>78</v>
      </c>
      <c r="E14" s="14" t="s">
        <v>79</v>
      </c>
      <c r="F14" s="20" t="s">
        <v>80</v>
      </c>
      <c r="G14" s="16" t="s">
        <v>81</v>
      </c>
      <c r="H14" s="11" t="s">
        <v>82</v>
      </c>
    </row>
    <row r="15" customFormat="false" ht="30" hidden="false" customHeight="true" outlineLevel="0" collapsed="false">
      <c r="A15" s="17"/>
      <c r="B15" s="11" t="s">
        <v>83</v>
      </c>
      <c r="C15" s="18" t="s">
        <v>84</v>
      </c>
      <c r="D15" s="19" t="s">
        <v>85</v>
      </c>
      <c r="E15" s="14" t="s">
        <v>86</v>
      </c>
      <c r="F15" s="20" t="s">
        <v>80</v>
      </c>
      <c r="G15" s="16" t="s">
        <v>87</v>
      </c>
      <c r="H15" s="11" t="s">
        <v>88</v>
      </c>
    </row>
    <row r="16" customFormat="false" ht="30" hidden="false" customHeight="true" outlineLevel="0" collapsed="false">
      <c r="A16" s="10" t="s">
        <v>89</v>
      </c>
      <c r="B16" s="11" t="s">
        <v>90</v>
      </c>
      <c r="C16" s="13" t="s">
        <v>91</v>
      </c>
      <c r="D16" s="13" t="s">
        <v>72</v>
      </c>
      <c r="E16" s="14" t="s">
        <v>72</v>
      </c>
      <c r="F16" s="21" t="s">
        <v>72</v>
      </c>
      <c r="G16" s="16" t="s">
        <v>92</v>
      </c>
      <c r="H16" s="11" t="s">
        <v>93</v>
      </c>
    </row>
  </sheetData>
  <mergeCells count="2">
    <mergeCell ref="A1:H1"/>
    <mergeCell ref="A3:H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8"/>
    <col collapsed="false" customWidth="true" hidden="false" outlineLevel="0" max="3" min="3" style="0" width="16"/>
    <col collapsed="false" customWidth="true" hidden="false" outlineLevel="0" max="4" min="4" style="0" width="18"/>
    <col collapsed="false" customWidth="true" hidden="false" outlineLevel="0" max="5" min="5" style="0" width="8"/>
    <col collapsed="false" customWidth="true" hidden="false" outlineLevel="0" max="6" min="6" style="0" width="20"/>
    <col collapsed="false" customWidth="true" hidden="false" outlineLevel="0" max="7" min="7" style="0" width="10"/>
    <col collapsed="false" customWidth="true" hidden="false" outlineLevel="0" max="9" min="8" style="0" width="12"/>
  </cols>
  <sheetData>
    <row r="1" customFormat="false" ht="16.15" hidden="false" customHeight="false" outlineLevel="0" collapsed="false">
      <c r="A1" s="8" t="s">
        <v>94</v>
      </c>
      <c r="B1" s="8"/>
      <c r="C1" s="8"/>
      <c r="D1" s="8"/>
      <c r="E1" s="8"/>
      <c r="F1" s="8"/>
      <c r="G1" s="8"/>
    </row>
    <row r="2" customFormat="false" ht="42" hidden="false" customHeight="true" outlineLevel="0" collapsed="false">
      <c r="A2" s="22" t="s">
        <v>95</v>
      </c>
      <c r="B2" s="22"/>
      <c r="C2" s="22"/>
      <c r="D2" s="22"/>
      <c r="E2" s="22"/>
      <c r="F2" s="22"/>
      <c r="G2" s="22"/>
    </row>
    <row r="4" customFormat="false" ht="23.85" hidden="false" customHeight="false" outlineLevel="0" collapsed="false">
      <c r="A4" s="9" t="s">
        <v>96</v>
      </c>
      <c r="B4" s="9" t="s">
        <v>97</v>
      </c>
      <c r="C4" s="9" t="s">
        <v>98</v>
      </c>
      <c r="D4" s="9" t="s">
        <v>99</v>
      </c>
      <c r="E4" s="9" t="s">
        <v>100</v>
      </c>
      <c r="F4" s="9" t="s">
        <v>101</v>
      </c>
      <c r="G4" s="9" t="s">
        <v>102</v>
      </c>
      <c r="H4" s="9" t="s">
        <v>103</v>
      </c>
      <c r="I4" s="9" t="s">
        <v>104</v>
      </c>
    </row>
    <row r="5" customFormat="false" ht="15" hidden="false" customHeight="false" outlineLevel="0" collapsed="false">
      <c r="A5" s="23" t="s">
        <v>105</v>
      </c>
      <c r="B5" s="24" t="s">
        <v>106</v>
      </c>
      <c r="C5" s="14" t="s">
        <v>107</v>
      </c>
      <c r="D5" s="25" t="n">
        <v>2.1097</v>
      </c>
      <c r="E5" s="26" t="n">
        <v>1</v>
      </c>
      <c r="F5" s="27" t="n">
        <v>2.3021</v>
      </c>
      <c r="G5" s="26" t="n">
        <v>1</v>
      </c>
      <c r="H5" s="26" t="n">
        <v>0</v>
      </c>
      <c r="I5" s="28" t="s">
        <v>108</v>
      </c>
    </row>
    <row r="6" customFormat="false" ht="15" hidden="false" customHeight="false" outlineLevel="0" collapsed="false">
      <c r="A6" s="23" t="s">
        <v>109</v>
      </c>
      <c r="B6" s="24" t="s">
        <v>110</v>
      </c>
      <c r="C6" s="14" t="s">
        <v>111</v>
      </c>
      <c r="D6" s="25" t="n">
        <v>1.8009</v>
      </c>
      <c r="E6" s="26" t="n">
        <v>2</v>
      </c>
      <c r="F6" s="27" t="n">
        <v>1.3865</v>
      </c>
      <c r="G6" s="26" t="n">
        <v>4</v>
      </c>
      <c r="H6" s="29" t="n">
        <v>2</v>
      </c>
      <c r="I6" s="28" t="s">
        <v>108</v>
      </c>
    </row>
    <row r="7" customFormat="false" ht="15" hidden="false" customHeight="false" outlineLevel="0" collapsed="false">
      <c r="A7" s="23" t="s">
        <v>112</v>
      </c>
      <c r="B7" s="24" t="s">
        <v>113</v>
      </c>
      <c r="C7" s="14" t="s">
        <v>114</v>
      </c>
      <c r="D7" s="25" t="n">
        <v>1.5033</v>
      </c>
      <c r="E7" s="26" t="n">
        <v>3</v>
      </c>
      <c r="F7" s="27" t="n">
        <v>2.1964</v>
      </c>
      <c r="G7" s="26" t="n">
        <v>2</v>
      </c>
      <c r="H7" s="26" t="n">
        <v>1</v>
      </c>
      <c r="I7" s="28" t="s">
        <v>108</v>
      </c>
    </row>
    <row r="8" customFormat="false" ht="15" hidden="false" customHeight="false" outlineLevel="0" collapsed="false">
      <c r="A8" s="23" t="s">
        <v>115</v>
      </c>
      <c r="B8" s="24" t="s">
        <v>116</v>
      </c>
      <c r="C8" s="14" t="s">
        <v>117</v>
      </c>
      <c r="D8" s="25" t="n">
        <v>1.2064</v>
      </c>
      <c r="E8" s="26" t="n">
        <v>4</v>
      </c>
      <c r="F8" s="27" t="n">
        <v>1.1077</v>
      </c>
      <c r="G8" s="26" t="n">
        <v>5</v>
      </c>
      <c r="H8" s="26" t="n">
        <v>1</v>
      </c>
      <c r="I8" s="28" t="s">
        <v>108</v>
      </c>
    </row>
    <row r="9" customFormat="false" ht="15" hidden="false" customHeight="false" outlineLevel="0" collapsed="false">
      <c r="A9" s="23" t="s">
        <v>118</v>
      </c>
      <c r="B9" s="24" t="s">
        <v>119</v>
      </c>
      <c r="C9" s="14" t="s">
        <v>111</v>
      </c>
      <c r="D9" s="25" t="n">
        <v>1.2055</v>
      </c>
      <c r="E9" s="26" t="n">
        <v>5</v>
      </c>
      <c r="F9" s="27" t="n">
        <v>1.6079</v>
      </c>
      <c r="G9" s="26" t="n">
        <v>3</v>
      </c>
      <c r="H9" s="29" t="n">
        <v>2</v>
      </c>
      <c r="I9" s="28" t="s">
        <v>108</v>
      </c>
    </row>
    <row r="10" customFormat="false" ht="15" hidden="false" customHeight="false" outlineLevel="0" collapsed="false">
      <c r="A10" s="30" t="s">
        <v>120</v>
      </c>
      <c r="B10" s="24" t="s">
        <v>121</v>
      </c>
      <c r="C10" s="14" t="s">
        <v>122</v>
      </c>
      <c r="D10" s="31" t="n">
        <v>0.9503</v>
      </c>
      <c r="E10" s="32" t="n">
        <v>8</v>
      </c>
      <c r="F10" s="27" t="n">
        <v>0.641</v>
      </c>
      <c r="G10" s="32" t="n">
        <v>6</v>
      </c>
      <c r="H10" s="29" t="n">
        <v>2</v>
      </c>
      <c r="I10" s="28" t="s">
        <v>108</v>
      </c>
    </row>
    <row r="11" customFormat="false" ht="15" hidden="false" customHeight="false" outlineLevel="0" collapsed="false">
      <c r="A11" s="30" t="s">
        <v>123</v>
      </c>
      <c r="B11" s="24" t="s">
        <v>124</v>
      </c>
      <c r="C11" s="14" t="s">
        <v>114</v>
      </c>
      <c r="D11" s="31" t="n">
        <v>0.8184</v>
      </c>
      <c r="E11" s="32" t="n">
        <v>10</v>
      </c>
      <c r="F11" s="27" t="n">
        <v>0.6157</v>
      </c>
      <c r="G11" s="32" t="n">
        <v>7</v>
      </c>
      <c r="H11" s="29" t="n">
        <v>3</v>
      </c>
      <c r="I11" s="33" t="s">
        <v>125</v>
      </c>
    </row>
    <row r="12" customFormat="false" ht="15" hidden="false" customHeight="false" outlineLevel="0" collapsed="false">
      <c r="A12" s="30" t="s">
        <v>126</v>
      </c>
      <c r="B12" s="24" t="s">
        <v>127</v>
      </c>
      <c r="C12" s="14" t="s">
        <v>107</v>
      </c>
      <c r="D12" s="31" t="n">
        <v>0.7698</v>
      </c>
      <c r="E12" s="32" t="n">
        <v>11</v>
      </c>
      <c r="F12" s="27" t="n">
        <v>0.5676</v>
      </c>
      <c r="G12" s="32" t="n">
        <v>8</v>
      </c>
      <c r="H12" s="29" t="n">
        <v>3</v>
      </c>
      <c r="I12" s="33" t="s">
        <v>125</v>
      </c>
    </row>
    <row r="13" customFormat="false" ht="15" hidden="false" customHeight="false" outlineLevel="0" collapsed="false">
      <c r="A13" s="30" t="s">
        <v>128</v>
      </c>
      <c r="B13" s="24" t="s">
        <v>129</v>
      </c>
      <c r="C13" s="14" t="s">
        <v>130</v>
      </c>
      <c r="D13" s="31" t="n">
        <v>0.4905</v>
      </c>
      <c r="E13" s="32" t="n">
        <v>14</v>
      </c>
      <c r="F13" s="27" t="n">
        <v>0.4795</v>
      </c>
      <c r="G13" s="32" t="n">
        <v>9</v>
      </c>
      <c r="H13" s="34" t="n">
        <v>5</v>
      </c>
      <c r="I13" s="35" t="s">
        <v>131</v>
      </c>
    </row>
    <row r="14" customFormat="false" ht="15" hidden="false" customHeight="false" outlineLevel="0" collapsed="false">
      <c r="A14" s="30" t="s">
        <v>132</v>
      </c>
      <c r="B14" s="24" t="s">
        <v>133</v>
      </c>
      <c r="C14" s="14" t="s">
        <v>130</v>
      </c>
      <c r="D14" s="31" t="n">
        <v>0.4476</v>
      </c>
      <c r="E14" s="32" t="n">
        <v>15</v>
      </c>
      <c r="F14" s="27" t="n">
        <v>0.1747</v>
      </c>
      <c r="G14" s="32" t="n">
        <v>14</v>
      </c>
      <c r="H14" s="26" t="n">
        <v>1</v>
      </c>
      <c r="I14" s="28" t="s">
        <v>108</v>
      </c>
    </row>
    <row r="15" customFormat="false" ht="15" hidden="false" customHeight="false" outlineLevel="0" collapsed="false">
      <c r="A15" s="30" t="s">
        <v>134</v>
      </c>
      <c r="B15" s="24" t="s">
        <v>135</v>
      </c>
      <c r="C15" s="14" t="s">
        <v>136</v>
      </c>
      <c r="D15" s="31" t="n">
        <v>0.4394</v>
      </c>
      <c r="E15" s="32" t="n">
        <v>16</v>
      </c>
      <c r="F15" s="27" t="n">
        <v>0.4206</v>
      </c>
      <c r="G15" s="32" t="n">
        <v>10</v>
      </c>
      <c r="H15" s="34" t="n">
        <v>6</v>
      </c>
      <c r="I15" s="35" t="s">
        <v>131</v>
      </c>
    </row>
    <row r="16" customFormat="false" ht="15" hidden="false" customHeight="false" outlineLevel="0" collapsed="false">
      <c r="A16" s="30" t="s">
        <v>137</v>
      </c>
      <c r="B16" s="24" t="s">
        <v>138</v>
      </c>
      <c r="C16" s="14" t="s">
        <v>117</v>
      </c>
      <c r="D16" s="31" t="n">
        <v>0.3634</v>
      </c>
      <c r="E16" s="32" t="n">
        <v>17</v>
      </c>
      <c r="F16" s="27" t="n">
        <v>0.1351</v>
      </c>
      <c r="G16" s="32" t="n">
        <v>17</v>
      </c>
      <c r="H16" s="26" t="n">
        <v>0</v>
      </c>
      <c r="I16" s="28" t="s">
        <v>108</v>
      </c>
    </row>
    <row r="17" customFormat="false" ht="15" hidden="false" customHeight="false" outlineLevel="0" collapsed="false">
      <c r="A17" s="30" t="s">
        <v>139</v>
      </c>
      <c r="B17" s="24" t="s">
        <v>140</v>
      </c>
      <c r="C17" s="14" t="s">
        <v>107</v>
      </c>
      <c r="D17" s="31" t="n">
        <v>0.3002</v>
      </c>
      <c r="E17" s="32" t="n">
        <v>19</v>
      </c>
      <c r="F17" s="27" t="n">
        <v>0.3803</v>
      </c>
      <c r="G17" s="32" t="n">
        <v>11</v>
      </c>
      <c r="H17" s="34" t="n">
        <v>8</v>
      </c>
      <c r="I17" s="35" t="s">
        <v>131</v>
      </c>
    </row>
    <row r="18" customFormat="false" ht="15" hidden="false" customHeight="false" outlineLevel="0" collapsed="false">
      <c r="A18" s="30" t="s">
        <v>141</v>
      </c>
      <c r="B18" s="24" t="s">
        <v>142</v>
      </c>
      <c r="C18" s="14" t="s">
        <v>117</v>
      </c>
      <c r="D18" s="31" t="n">
        <v>0.0854</v>
      </c>
      <c r="E18" s="32" t="n">
        <v>25</v>
      </c>
      <c r="F18" s="27" t="n">
        <v>0.3039</v>
      </c>
      <c r="G18" s="32" t="n">
        <v>12</v>
      </c>
      <c r="H18" s="34" t="n">
        <v>13</v>
      </c>
      <c r="I18" s="35" t="s">
        <v>131</v>
      </c>
    </row>
    <row r="20" customFormat="false" ht="15" hidden="false" customHeight="false" outlineLevel="0" collapsed="false">
      <c r="A20" s="36" t="s">
        <v>143</v>
      </c>
      <c r="B20" s="36"/>
      <c r="C20" s="36"/>
      <c r="D20" s="36"/>
      <c r="E20" s="36"/>
      <c r="F20" s="36"/>
      <c r="G20" s="36"/>
    </row>
    <row r="21" customFormat="false" ht="90" hidden="false" customHeight="true" outlineLevel="0" collapsed="false">
      <c r="A21" s="37" t="s">
        <v>144</v>
      </c>
      <c r="B21" s="37"/>
      <c r="C21" s="37"/>
      <c r="D21" s="37"/>
      <c r="E21" s="37"/>
      <c r="F21" s="37"/>
      <c r="G21" s="37"/>
    </row>
  </sheetData>
  <mergeCells count="4">
    <mergeCell ref="A1:G1"/>
    <mergeCell ref="A2:G2"/>
    <mergeCell ref="A20:G20"/>
    <mergeCell ref="A21:G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4" min="3" style="0" width="8"/>
    <col collapsed="false" customWidth="true" hidden="false" outlineLevel="0" max="5" min="5" style="0" width="10"/>
    <col collapsed="false" customWidth="true" hidden="false" outlineLevel="0" max="7" min="6" style="0" width="8"/>
    <col collapsed="false" customWidth="true" hidden="false" outlineLevel="0" max="8" min="8" style="0" width="10"/>
    <col collapsed="false" customWidth="true" hidden="false" outlineLevel="0" max="11" min="9" style="0" width="12"/>
  </cols>
  <sheetData>
    <row r="1" customFormat="false" ht="16.15" hidden="false" customHeight="false" outlineLevel="0" collapsed="false">
      <c r="A1" s="8" t="s">
        <v>145</v>
      </c>
      <c r="B1" s="8"/>
      <c r="C1" s="8"/>
      <c r="D1" s="8"/>
      <c r="E1" s="8"/>
      <c r="F1" s="8"/>
      <c r="G1" s="8"/>
      <c r="H1" s="8"/>
      <c r="I1" s="8"/>
      <c r="J1" s="8"/>
    </row>
    <row r="2" customFormat="false" ht="15" hidden="false" customHeight="false" outlineLevel="0" collapsed="false">
      <c r="A2" s="2" t="s">
        <v>146</v>
      </c>
      <c r="B2" s="2"/>
      <c r="C2" s="2"/>
      <c r="D2" s="2"/>
      <c r="E2" s="2"/>
      <c r="F2" s="2"/>
      <c r="G2" s="2"/>
      <c r="H2" s="2"/>
      <c r="I2" s="2"/>
      <c r="J2" s="2"/>
    </row>
    <row r="4" customFormat="false" ht="23.85" hidden="false" customHeight="false" outlineLevel="0" collapsed="false">
      <c r="A4" s="9" t="s">
        <v>147</v>
      </c>
      <c r="B4" s="9" t="s">
        <v>148</v>
      </c>
      <c r="C4" s="9" t="s">
        <v>149</v>
      </c>
      <c r="D4" s="9" t="s">
        <v>150</v>
      </c>
      <c r="E4" s="9" t="s">
        <v>151</v>
      </c>
      <c r="F4" s="9" t="s">
        <v>152</v>
      </c>
      <c r="G4" s="9" t="s">
        <v>153</v>
      </c>
      <c r="H4" s="9" t="s">
        <v>154</v>
      </c>
      <c r="I4" s="9" t="s">
        <v>155</v>
      </c>
      <c r="J4" s="9" t="s">
        <v>156</v>
      </c>
      <c r="K4" s="9" t="s">
        <v>22</v>
      </c>
    </row>
    <row r="5" customFormat="false" ht="15" hidden="false" customHeight="false" outlineLevel="0" collapsed="false">
      <c r="A5" s="38" t="s">
        <v>157</v>
      </c>
      <c r="B5" s="39" t="s">
        <v>158</v>
      </c>
      <c r="C5" s="28" t="n">
        <v>4</v>
      </c>
      <c r="D5" s="39" t="n">
        <v>55</v>
      </c>
      <c r="E5" s="28" t="n">
        <v>63</v>
      </c>
      <c r="F5" s="35" t="n">
        <v>30</v>
      </c>
      <c r="G5" s="39" t="n">
        <v>13</v>
      </c>
      <c r="H5" s="40" t="n">
        <v>73</v>
      </c>
      <c r="I5" s="14" t="n">
        <v>5</v>
      </c>
      <c r="J5" s="14" t="n">
        <v>107</v>
      </c>
      <c r="K5" s="15" t="s">
        <v>30</v>
      </c>
    </row>
    <row r="6" customFormat="false" ht="15" hidden="false" customHeight="false" outlineLevel="0" collapsed="false">
      <c r="A6" s="38" t="s">
        <v>159</v>
      </c>
      <c r="B6" s="39" t="s">
        <v>160</v>
      </c>
      <c r="C6" s="28" t="n">
        <v>2</v>
      </c>
      <c r="D6" s="39" t="n">
        <v>99</v>
      </c>
      <c r="E6" s="28" t="n">
        <v>109</v>
      </c>
      <c r="F6" s="35" t="n">
        <v>22</v>
      </c>
      <c r="G6" s="39" t="n">
        <v>18</v>
      </c>
      <c r="H6" s="40" t="n">
        <v>128</v>
      </c>
      <c r="I6" s="14" t="n">
        <v>2</v>
      </c>
      <c r="J6" s="14" t="n">
        <v>178</v>
      </c>
      <c r="K6" s="15" t="s">
        <v>30</v>
      </c>
    </row>
    <row r="7" customFormat="false" ht="15" hidden="false" customHeight="false" outlineLevel="0" collapsed="false">
      <c r="A7" s="38" t="s">
        <v>161</v>
      </c>
      <c r="B7" s="39" t="s">
        <v>162</v>
      </c>
      <c r="C7" s="28" t="n">
        <v>1</v>
      </c>
      <c r="D7" s="39" t="n">
        <v>152</v>
      </c>
      <c r="E7" s="28" t="n">
        <v>162</v>
      </c>
      <c r="F7" s="35" t="n">
        <v>17</v>
      </c>
      <c r="G7" s="39" t="n">
        <v>22</v>
      </c>
      <c r="H7" s="40" t="n">
        <v>192</v>
      </c>
      <c r="I7" s="14" t="n">
        <v>1</v>
      </c>
      <c r="J7" s="14" t="n">
        <v>268</v>
      </c>
      <c r="K7" s="15" t="s">
        <v>30</v>
      </c>
    </row>
    <row r="8" customFormat="false" ht="15" hidden="false" customHeight="false" outlineLevel="0" collapsed="false">
      <c r="A8" s="38" t="s">
        <v>163</v>
      </c>
      <c r="B8" s="39" t="s">
        <v>164</v>
      </c>
      <c r="C8" s="28" t="n">
        <v>1</v>
      </c>
      <c r="D8" s="39" t="n">
        <v>226</v>
      </c>
      <c r="E8" s="40" t="n">
        <v>246</v>
      </c>
      <c r="F8" s="35" t="n">
        <v>8</v>
      </c>
      <c r="G8" s="39" t="n">
        <v>37</v>
      </c>
      <c r="H8" s="33" t="n">
        <v>197</v>
      </c>
      <c r="I8" s="14" t="n">
        <v>0</v>
      </c>
      <c r="J8" s="14" t="n">
        <v>353</v>
      </c>
      <c r="K8" s="20" t="s">
        <v>80</v>
      </c>
    </row>
    <row r="9" customFormat="false" ht="15" hidden="false" customHeight="false" outlineLevel="0" collapsed="false">
      <c r="A9" s="38" t="s">
        <v>165</v>
      </c>
      <c r="B9" s="39" t="s">
        <v>166</v>
      </c>
      <c r="C9" s="28" t="n">
        <v>0</v>
      </c>
      <c r="D9" s="39" t="n">
        <v>378</v>
      </c>
      <c r="E9" s="40" t="n">
        <v>378</v>
      </c>
      <c r="F9" s="35" t="n">
        <v>5</v>
      </c>
      <c r="G9" s="39" t="n">
        <v>64</v>
      </c>
      <c r="H9" s="33" t="n">
        <v>314</v>
      </c>
      <c r="I9" s="14" t="n">
        <v>0</v>
      </c>
      <c r="J9" s="14" t="n">
        <v>510</v>
      </c>
      <c r="K9" s="20" t="s">
        <v>80</v>
      </c>
    </row>
    <row r="11" customFormat="false" ht="15" hidden="false" customHeight="false" outlineLevel="0" collapsed="false">
      <c r="A11" s="41" t="s">
        <v>167</v>
      </c>
      <c r="B11" s="41"/>
      <c r="C11" s="41"/>
      <c r="D11" s="41"/>
      <c r="E11" s="41"/>
      <c r="F11" s="41"/>
      <c r="G11" s="41"/>
      <c r="H11" s="41"/>
      <c r="I11" s="41"/>
      <c r="J11" s="41"/>
    </row>
    <row r="14" customFormat="false" ht="15" hidden="false" customHeight="false" outlineLevel="0" collapsed="false">
      <c r="A14" s="0" t="s">
        <v>168</v>
      </c>
      <c r="B14" s="0" t="s">
        <v>149</v>
      </c>
      <c r="C14" s="0" t="s">
        <v>169</v>
      </c>
      <c r="D14" s="0" t="s">
        <v>155</v>
      </c>
    </row>
    <row r="15" customFormat="false" ht="15" hidden="false" customHeight="false" outlineLevel="0" collapsed="false">
      <c r="A15" s="0" t="s">
        <v>157</v>
      </c>
      <c r="B15" s="0" t="n">
        <v>4</v>
      </c>
      <c r="C15" s="0" t="n">
        <v>30</v>
      </c>
      <c r="D15" s="0" t="n">
        <v>5</v>
      </c>
    </row>
    <row r="16" customFormat="false" ht="15" hidden="false" customHeight="false" outlineLevel="0" collapsed="false">
      <c r="A16" s="0" t="s">
        <v>159</v>
      </c>
      <c r="B16" s="0" t="n">
        <v>2</v>
      </c>
      <c r="C16" s="0" t="n">
        <v>22</v>
      </c>
      <c r="D16" s="0" t="n">
        <v>2</v>
      </c>
    </row>
    <row r="17" customFormat="false" ht="15" hidden="false" customHeight="false" outlineLevel="0" collapsed="false">
      <c r="A17" s="0" t="s">
        <v>161</v>
      </c>
      <c r="B17" s="0" t="n">
        <v>1</v>
      </c>
      <c r="C17" s="0" t="n">
        <v>17</v>
      </c>
      <c r="D17" s="0" t="n">
        <v>1</v>
      </c>
    </row>
    <row r="18" customFormat="false" ht="15" hidden="false" customHeight="false" outlineLevel="0" collapsed="false">
      <c r="A18" s="0" t="s">
        <v>163</v>
      </c>
      <c r="B18" s="0" t="n">
        <v>1</v>
      </c>
      <c r="C18" s="0" t="n">
        <v>8</v>
      </c>
      <c r="D18" s="0" t="n">
        <v>0</v>
      </c>
    </row>
    <row r="19" customFormat="false" ht="15" hidden="false" customHeight="false" outlineLevel="0" collapsed="false">
      <c r="A19" s="0" t="s">
        <v>165</v>
      </c>
      <c r="B19" s="0" t="n">
        <v>0</v>
      </c>
      <c r="C19" s="0" t="n">
        <v>5</v>
      </c>
      <c r="D19" s="0" t="n">
        <v>0</v>
      </c>
    </row>
  </sheetData>
  <mergeCells count="3">
    <mergeCell ref="A1:J1"/>
    <mergeCell ref="A2:J2"/>
    <mergeCell ref="A11:J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8"/>
    <col collapsed="false" customWidth="true" hidden="false" outlineLevel="0" max="3" min="3" style="0" width="30"/>
    <col collapsed="false" customWidth="true" hidden="false" outlineLevel="0" max="4" min="4" style="0" width="16"/>
    <col collapsed="false" customWidth="true" hidden="false" outlineLevel="0" max="5" min="5" style="0" width="14"/>
    <col collapsed="false" customWidth="true" hidden="false" outlineLevel="0" max="6" min="6" style="0" width="20"/>
    <col collapsed="false" customWidth="true" hidden="false" outlineLevel="0" max="7" min="7" style="0" width="44"/>
  </cols>
  <sheetData>
    <row r="1" customFormat="false" ht="16.15" hidden="false" customHeight="false" outlineLevel="0" collapsed="false">
      <c r="A1" s="8" t="s">
        <v>170</v>
      </c>
      <c r="B1" s="8"/>
      <c r="C1" s="8"/>
      <c r="D1" s="8"/>
      <c r="E1" s="8"/>
      <c r="F1" s="8"/>
      <c r="G1" s="8"/>
    </row>
    <row r="2" customFormat="false" ht="30" hidden="false" customHeight="true" outlineLevel="0" collapsed="false">
      <c r="A2" s="42" t="s">
        <v>171</v>
      </c>
      <c r="B2" s="42"/>
      <c r="C2" s="42"/>
      <c r="D2" s="42"/>
      <c r="E2" s="42"/>
      <c r="F2" s="42"/>
      <c r="G2" s="42"/>
    </row>
    <row r="4" customFormat="false" ht="23.85" hidden="false" customHeight="false" outlineLevel="0" collapsed="false">
      <c r="A4" s="9" t="s">
        <v>172</v>
      </c>
      <c r="B4" s="9" t="s">
        <v>97</v>
      </c>
      <c r="C4" s="9" t="s">
        <v>173</v>
      </c>
      <c r="D4" s="9" t="s">
        <v>98</v>
      </c>
      <c r="E4" s="9" t="s">
        <v>174</v>
      </c>
      <c r="F4" s="9" t="s">
        <v>175</v>
      </c>
      <c r="G4" s="9" t="s">
        <v>176</v>
      </c>
    </row>
    <row r="5" customFormat="false" ht="30" hidden="false" customHeight="true" outlineLevel="0" collapsed="false">
      <c r="A5" s="28" t="n">
        <v>1</v>
      </c>
      <c r="B5" s="43" t="s">
        <v>106</v>
      </c>
      <c r="C5" s="44" t="s">
        <v>105</v>
      </c>
      <c r="D5" s="14" t="s">
        <v>107</v>
      </c>
      <c r="E5" s="45" t="s">
        <v>177</v>
      </c>
      <c r="F5" s="46" t="s">
        <v>178</v>
      </c>
      <c r="G5" s="11" t="s">
        <v>179</v>
      </c>
    </row>
    <row r="6" customFormat="false" ht="30" hidden="false" customHeight="true" outlineLevel="0" collapsed="false">
      <c r="A6" s="28" t="n">
        <v>2</v>
      </c>
      <c r="B6" s="43" t="s">
        <v>110</v>
      </c>
      <c r="C6" s="44" t="s">
        <v>109</v>
      </c>
      <c r="D6" s="14" t="s">
        <v>111</v>
      </c>
      <c r="E6" s="45" t="s">
        <v>180</v>
      </c>
      <c r="F6" s="46" t="s">
        <v>178</v>
      </c>
      <c r="G6" s="11" t="s">
        <v>181</v>
      </c>
    </row>
    <row r="7" customFormat="false" ht="30" hidden="false" customHeight="true" outlineLevel="0" collapsed="false">
      <c r="A7" s="28" t="n">
        <v>3</v>
      </c>
      <c r="B7" s="43" t="s">
        <v>113</v>
      </c>
      <c r="C7" s="44" t="s">
        <v>112</v>
      </c>
      <c r="D7" s="14" t="s">
        <v>114</v>
      </c>
      <c r="E7" s="45" t="s">
        <v>182</v>
      </c>
      <c r="F7" s="46" t="s">
        <v>178</v>
      </c>
      <c r="G7" s="11" t="s">
        <v>183</v>
      </c>
    </row>
    <row r="8" customFormat="false" ht="30" hidden="false" customHeight="true" outlineLevel="0" collapsed="false">
      <c r="A8" s="28" t="n">
        <v>4</v>
      </c>
      <c r="B8" s="43" t="s">
        <v>116</v>
      </c>
      <c r="C8" s="44" t="s">
        <v>115</v>
      </c>
      <c r="D8" s="14" t="s">
        <v>117</v>
      </c>
      <c r="E8" s="45" t="s">
        <v>184</v>
      </c>
      <c r="F8" s="46" t="s">
        <v>178</v>
      </c>
      <c r="G8" s="11" t="s">
        <v>185</v>
      </c>
    </row>
    <row r="9" customFormat="false" ht="30" hidden="false" customHeight="true" outlineLevel="0" collapsed="false">
      <c r="A9" s="28" t="n">
        <v>5</v>
      </c>
      <c r="B9" s="43" t="s">
        <v>119</v>
      </c>
      <c r="C9" s="44" t="s">
        <v>118</v>
      </c>
      <c r="D9" s="14" t="s">
        <v>111</v>
      </c>
      <c r="E9" s="45" t="s">
        <v>184</v>
      </c>
      <c r="F9" s="46" t="s">
        <v>178</v>
      </c>
      <c r="G9" s="11" t="s">
        <v>186</v>
      </c>
    </row>
    <row r="10" customFormat="false" ht="30" hidden="false" customHeight="true" outlineLevel="0" collapsed="false">
      <c r="A10" s="33" t="n">
        <v>6</v>
      </c>
      <c r="B10" s="47" t="s">
        <v>124</v>
      </c>
      <c r="C10" s="48" t="s">
        <v>123</v>
      </c>
      <c r="D10" s="14" t="s">
        <v>114</v>
      </c>
      <c r="E10" s="49" t="s">
        <v>187</v>
      </c>
      <c r="F10" s="50" t="s">
        <v>188</v>
      </c>
      <c r="G10" s="11" t="s">
        <v>189</v>
      </c>
    </row>
    <row r="11" customFormat="false" ht="30" hidden="false" customHeight="true" outlineLevel="0" collapsed="false">
      <c r="A11" s="33" t="n">
        <v>7</v>
      </c>
      <c r="B11" s="47" t="s">
        <v>121</v>
      </c>
      <c r="C11" s="48" t="s">
        <v>120</v>
      </c>
      <c r="D11" s="14" t="s">
        <v>122</v>
      </c>
      <c r="E11" s="45" t="s">
        <v>190</v>
      </c>
      <c r="F11" s="46" t="s">
        <v>178</v>
      </c>
      <c r="G11" s="11" t="s">
        <v>191</v>
      </c>
    </row>
    <row r="13" customFormat="false" ht="15" hidden="false" customHeight="false" outlineLevel="0" collapsed="false">
      <c r="A13" s="7" t="s">
        <v>192</v>
      </c>
      <c r="B13" s="7"/>
      <c r="C13" s="7"/>
      <c r="D13" s="7"/>
      <c r="E13" s="7"/>
      <c r="F13" s="7"/>
      <c r="G13" s="7"/>
    </row>
    <row r="14" customFormat="false" ht="42" hidden="false" customHeight="true" outlineLevel="0" collapsed="false">
      <c r="A14" s="51" t="s">
        <v>193</v>
      </c>
      <c r="B14" s="51"/>
      <c r="C14" s="51"/>
      <c r="D14" s="51"/>
      <c r="E14" s="51"/>
      <c r="F14" s="51"/>
      <c r="G14" s="51"/>
    </row>
  </sheetData>
  <mergeCells count="4">
    <mergeCell ref="A1:G1"/>
    <mergeCell ref="A2:G2"/>
    <mergeCell ref="A13:G13"/>
    <mergeCell ref="A14:G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0"/>
    <col collapsed="false" customWidth="true" hidden="false" outlineLevel="0" max="3" min="3" style="0" width="12"/>
    <col collapsed="false" customWidth="true" hidden="false" outlineLevel="0" max="5" min="4" style="0" width="16"/>
    <col collapsed="false" customWidth="true" hidden="false" outlineLevel="0" max="6" min="6" style="0" width="8"/>
    <col collapsed="false" customWidth="true" hidden="false" outlineLevel="0" max="7" min="7" style="0" width="20"/>
    <col collapsed="false" customWidth="true" hidden="false" outlineLevel="0" max="8" min="8" style="0" width="44"/>
  </cols>
  <sheetData>
    <row r="1" customFormat="false" ht="16.15" hidden="false" customHeight="false" outlineLevel="0" collapsed="false">
      <c r="A1" s="8" t="s">
        <v>194</v>
      </c>
      <c r="B1" s="8"/>
      <c r="C1" s="8"/>
      <c r="D1" s="8"/>
      <c r="E1" s="8"/>
      <c r="F1" s="8"/>
      <c r="G1" s="8"/>
      <c r="H1" s="8"/>
    </row>
    <row r="2" customFormat="false" ht="15" hidden="false" customHeight="false" outlineLevel="0" collapsed="false">
      <c r="A2" s="2" t="s">
        <v>195</v>
      </c>
      <c r="B2" s="2"/>
      <c r="C2" s="2"/>
      <c r="D2" s="2"/>
      <c r="E2" s="2"/>
      <c r="F2" s="2"/>
      <c r="G2" s="2"/>
      <c r="H2" s="2"/>
    </row>
    <row r="4" customFormat="false" ht="15" hidden="false" customHeight="false" outlineLevel="0" collapsed="false">
      <c r="A4" s="9" t="s">
        <v>196</v>
      </c>
      <c r="B4" s="9" t="s">
        <v>18</v>
      </c>
      <c r="C4" s="9" t="s">
        <v>197</v>
      </c>
      <c r="D4" s="9" t="s">
        <v>198</v>
      </c>
      <c r="E4" s="9" t="s">
        <v>199</v>
      </c>
      <c r="F4" s="9" t="s">
        <v>200</v>
      </c>
      <c r="G4" s="9" t="s">
        <v>201</v>
      </c>
      <c r="H4" s="9" t="s">
        <v>202</v>
      </c>
    </row>
    <row r="5" customFormat="false" ht="60" hidden="false" customHeight="true" outlineLevel="0" collapsed="false">
      <c r="A5" s="52" t="s">
        <v>203</v>
      </c>
      <c r="B5" s="11" t="s">
        <v>204</v>
      </c>
      <c r="C5" s="20" t="s">
        <v>205</v>
      </c>
      <c r="D5" s="14" t="s">
        <v>206</v>
      </c>
      <c r="E5" s="14" t="s">
        <v>207</v>
      </c>
      <c r="F5" s="20" t="s">
        <v>205</v>
      </c>
      <c r="G5" s="53" t="s">
        <v>208</v>
      </c>
      <c r="H5" s="11" t="s">
        <v>209</v>
      </c>
    </row>
    <row r="6" customFormat="false" ht="60" hidden="false" customHeight="true" outlineLevel="0" collapsed="false">
      <c r="A6" s="54" t="s">
        <v>210</v>
      </c>
      <c r="B6" s="11" t="s">
        <v>211</v>
      </c>
      <c r="C6" s="55" t="s">
        <v>212</v>
      </c>
      <c r="D6" s="14" t="s">
        <v>213</v>
      </c>
      <c r="E6" s="14" t="s">
        <v>214</v>
      </c>
      <c r="F6" s="55" t="s">
        <v>212</v>
      </c>
      <c r="G6" s="53" t="s">
        <v>215</v>
      </c>
      <c r="H6" s="11" t="s">
        <v>216</v>
      </c>
    </row>
    <row r="7" customFormat="false" ht="60" hidden="false" customHeight="true" outlineLevel="0" collapsed="false">
      <c r="A7" s="54" t="s">
        <v>217</v>
      </c>
      <c r="B7" s="11" t="s">
        <v>218</v>
      </c>
      <c r="C7" s="55" t="s">
        <v>212</v>
      </c>
      <c r="D7" s="14" t="s">
        <v>219</v>
      </c>
      <c r="E7" s="14" t="s">
        <v>220</v>
      </c>
      <c r="F7" s="55" t="s">
        <v>212</v>
      </c>
      <c r="G7" s="53" t="s">
        <v>221</v>
      </c>
      <c r="H7" s="11" t="s">
        <v>222</v>
      </c>
    </row>
    <row r="8" customFormat="false" ht="60" hidden="false" customHeight="true" outlineLevel="0" collapsed="false">
      <c r="A8" s="52" t="s">
        <v>223</v>
      </c>
      <c r="B8" s="11" t="s">
        <v>224</v>
      </c>
      <c r="C8" s="20" t="s">
        <v>205</v>
      </c>
      <c r="D8" s="14" t="s">
        <v>225</v>
      </c>
      <c r="E8" s="14" t="s">
        <v>226</v>
      </c>
      <c r="F8" s="20" t="s">
        <v>205</v>
      </c>
      <c r="G8" s="53" t="s">
        <v>227</v>
      </c>
      <c r="H8" s="11" t="s">
        <v>228</v>
      </c>
    </row>
    <row r="10" customFormat="false" ht="48" hidden="false" customHeight="true" outlineLevel="0" collapsed="false">
      <c r="A10" s="56" t="s">
        <v>229</v>
      </c>
      <c r="B10" s="56"/>
      <c r="C10" s="56"/>
      <c r="D10" s="56"/>
      <c r="E10" s="56"/>
      <c r="F10" s="56"/>
      <c r="G10" s="56"/>
      <c r="H10" s="56"/>
    </row>
  </sheetData>
  <mergeCells count="3">
    <mergeCell ref="A1:H1"/>
    <mergeCell ref="A2:H2"/>
    <mergeCell ref="A10:H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2026-08-31T11:27:12Z</dcterms:created>
  <dc:creator>openpyxl</dc:creator>
  <dc:description/>
  <dc:language>en-US</dc:language>
  <cp:lastModifiedBy/>
  <dcterms:modified xsi:type="dcterms:W3CDTF">2026-08-31T11:27:18Z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